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G:\excel\project coffee shop\"/>
    </mc:Choice>
  </mc:AlternateContent>
  <xr:revisionPtr revIDLastSave="0" documentId="13_ncr:1_{305EC6C5-C79E-4B14-8AB0-15B1C7ECF41E}" xr6:coauthVersionLast="47" xr6:coauthVersionMax="47" xr10:uidLastSave="{00000000-0000-0000-0000-000000000000}"/>
  <bookViews>
    <workbookView xWindow="-120" yWindow="-120" windowWidth="20730" windowHeight="11160" activeTab="2" xr2:uid="{00000000-000D-0000-FFFF-FFFF00000000}"/>
  </bookViews>
  <sheets>
    <sheet name="Sheet1" sheetId="1" r:id="rId1"/>
    <sheet name="Sheet2" sheetId="2" r:id="rId2"/>
    <sheet name="Sheet3" sheetId="3" r:id="rId3"/>
    <sheet name="Sheet4" sheetId="4" r:id="rId4"/>
    <sheet name="Sheet5" sheetId="5" r:id="rId5"/>
  </sheets>
  <definedNames>
    <definedName name="Slicer_Day_Of_Week">#N/A</definedName>
    <definedName name="Slicer_Day_Of_Week1">#N/A</definedName>
  </definedNames>
  <calcPr calcId="191029"/>
  <pivotCaches>
    <pivotCache cacheId="21" r:id="rId6"/>
    <pivotCache cacheId="24" r:id="rId7"/>
    <pivotCache cacheId="27" r:id="rId8"/>
    <pivotCache cacheId="30" r:id="rId9"/>
    <pivotCache cacheId="33" r:id="rId10"/>
    <pivotCache cacheId="36" r:id="rId11"/>
    <pivotCache cacheId="39" r:id="rId12"/>
    <pivotCache cacheId="42" r:id="rId13"/>
    <pivotCache cacheId="46" r:id="rId14"/>
    <pivotCache cacheId="49" r:id="rId15"/>
    <pivotCache cacheId="52" r:id="rId16"/>
    <pivotCache cacheId="55" r:id="rId17"/>
    <pivotCache cacheId="58" r:id="rId18"/>
    <pivotCache cacheId="61" r:id="rId19"/>
    <pivotCache cacheId="64" r:id="rId20"/>
    <pivotCache cacheId="67" r:id="rId21"/>
  </pivotCaches>
  <extLst>
    <ext xmlns:x14="http://schemas.microsoft.com/office/spreadsheetml/2009/9/main" uri="{876F7934-8845-4945-9796-88D515C7AA90}">
      <x14:pivotCaches>
        <pivotCache cacheId="20" r:id="rId22"/>
        <pivotCache cacheId="45"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Data_e88c7315-eb9f-4441-a8c8-7c051b26771d" name="Fact_Data" connection="Query - Fact_Data"/>
          <x15:modelTable id="Dim_Coffee_da30b0cc-bce9-4aa8-8dee-3ca0ebfe750c" name="Dim_Coffee" connection="Query - Dim_Coffee"/>
          <x15:modelTable id="Dim_Payment_method_aa4d0952-b839-4716-8169-94cc4669117f" name="Dim_Payment_method" connection="Query - Dim_Payment_method"/>
          <x15:modelTable id="Dim_Hour_0468e765-4d4d-45a9-b68b-cdbb1d9d8cdd" name="Dim_Hour" connection="Query - Dim_Hour"/>
          <x15:modelTable id="Calendar" name="Calendar" connection="Connection"/>
        </x15:modelTables>
        <x15:modelRelationships>
          <x15:modelRelationship fromTable="Fact_Data" fromColumn="ID_payment" toTable="Dim_Payment_method" toColumn="ID_payment"/>
          <x15:modelRelationship fromTable="Fact_Data" fromColumn="ID_coffee" toTable="Dim_Coffee" toColumn="ID_coffee"/>
          <x15:modelRelationship fromTable="Fact_Data" fromColumn="ID_houe" toTable="Dim_Hour" toColumn="ID_houe"/>
          <x15:modelRelationship fromTable="Fact_Data" fromColumn="date" toTable="Calendar" toColumn="Date"/>
        </x15:modelRelationships>
      </x15:dataModel>
    </ext>
  </extLst>
</workbook>
</file>

<file path=xl/calcChain.xml><?xml version="1.0" encoding="utf-8"?>
<calcChain xmlns="http://schemas.openxmlformats.org/spreadsheetml/2006/main">
  <c r="N41" i="5" l="1"/>
  <c r="B43" i="5"/>
  <c r="J42" i="5"/>
  <c r="B9" i="5"/>
  <c r="B70" i="5"/>
  <c r="B2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451B48-EAAB-41F9-B4C5-89B9A91C1E61}" name="Connection" type="104" refreshedVersion="0" background="1">
    <extLst>
      <ext xmlns:x15="http://schemas.microsoft.com/office/spreadsheetml/2010/11/main" uri="{DE250136-89BD-433C-8126-D09CA5730AF9}">
        <x15:connection id="Calendar"/>
      </ext>
    </extLst>
  </connection>
  <connection id="2" xr16:uid="{4F2D2119-AEC4-486E-91CC-ABB35C3DA1EA}" interval="60" name="Query - Dim_Coffee" description="Connection to the 'Dim_Coffee' query in the workbook." type="100" refreshedVersion="8" minRefreshableVersion="5" refreshOnLoad="1" saveData="1">
    <extLst>
      <ext xmlns:x15="http://schemas.microsoft.com/office/spreadsheetml/2010/11/main" uri="{DE250136-89BD-433C-8126-D09CA5730AF9}">
        <x15:connection id="4bc98f8b-c9b9-478e-b911-b9ae0034c094"/>
      </ext>
    </extLst>
  </connection>
  <connection id="3" xr16:uid="{DF18DF47-97E9-4BB8-8A0F-E222A2AA556A}" name="Query - Dim_Hour" description="Connection to the 'Dim_Hour' query in the workbook." type="100" refreshedVersion="8" minRefreshableVersion="5">
    <extLst>
      <ext xmlns:x15="http://schemas.microsoft.com/office/spreadsheetml/2010/11/main" uri="{DE250136-89BD-433C-8126-D09CA5730AF9}">
        <x15:connection id="52f60a67-6849-41fe-8ce5-6ef4825fa8d3"/>
      </ext>
    </extLst>
  </connection>
  <connection id="4" xr16:uid="{35C9186B-7B53-4902-B1B0-0DB6D3007B01}" interval="60" name="Query - Dim_Payment_method" description="Connection to the 'Dim_Payment_method' query in the workbook." type="100" refreshedVersion="8" minRefreshableVersion="5" refreshOnLoad="1" saveData="1">
    <extLst>
      <ext xmlns:x15="http://schemas.microsoft.com/office/spreadsheetml/2010/11/main" uri="{DE250136-89BD-433C-8126-D09CA5730AF9}">
        <x15:connection id="cd938540-a76b-4693-8442-11455ceefa10"/>
      </ext>
    </extLst>
  </connection>
  <connection id="5" xr16:uid="{62E13013-DFC6-45DF-ACFB-76FDF99B9057}" interval="60" name="Query - Fact_Data" description="Connection to the 'Fact_Data' query in the workbook." type="100" refreshedVersion="8" minRefreshableVersion="5" refreshOnLoad="1" saveData="1">
    <extLst>
      <ext xmlns:x15="http://schemas.microsoft.com/office/spreadsheetml/2010/11/main" uri="{DE250136-89BD-433C-8126-D09CA5730AF9}">
        <x15:connection id="8b891a1d-2dd1-4162-94de-7bc7556427d2"/>
      </ext>
    </extLst>
  </connection>
  <connection id="6" xr16:uid="{842F0D83-7B65-4E94-967E-87F68962AB4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<sst xmlns="http://schemas.openxmlformats.org/spreadsheetml/2006/main" count="136" uniqueCount="32">
  <si>
    <t>Row Labels</t>
  </si>
  <si>
    <t>Americano</t>
  </si>
  <si>
    <t>Americano with Milk</t>
  </si>
  <si>
    <t>Cappuccino</t>
  </si>
  <si>
    <t>Cocoa</t>
  </si>
  <si>
    <t>Cortado</t>
  </si>
  <si>
    <t>Espresso</t>
  </si>
  <si>
    <t>Hot Chocolate</t>
  </si>
  <si>
    <t>Latte</t>
  </si>
  <si>
    <t>Grand Total</t>
  </si>
  <si>
    <t>Total sales</t>
  </si>
  <si>
    <t>March</t>
  </si>
  <si>
    <t>April</t>
  </si>
  <si>
    <t>May</t>
  </si>
  <si>
    <t>June</t>
  </si>
  <si>
    <t>July</t>
  </si>
  <si>
    <t>August</t>
  </si>
  <si>
    <t>card</t>
  </si>
  <si>
    <t>cash</t>
  </si>
  <si>
    <t>Afternoon</t>
  </si>
  <si>
    <t>Evening</t>
  </si>
  <si>
    <t>Morning</t>
  </si>
  <si>
    <t>Night</t>
  </si>
  <si>
    <t>Orders</t>
  </si>
  <si>
    <t>Sunday</t>
  </si>
  <si>
    <t>Monday</t>
  </si>
  <si>
    <t>Tuesday</t>
  </si>
  <si>
    <t>Wednesday</t>
  </si>
  <si>
    <t>Thursday</t>
  </si>
  <si>
    <t>Friday</t>
  </si>
  <si>
    <t>Saturday</t>
  </si>
  <si>
    <t>Items of coffee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</si>
</sst>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6.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61" Type="http://schemas.openxmlformats.org/officeDocument/2006/relationships/customXml" Target="../customXml/item3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8" Type="http://schemas.openxmlformats.org/officeDocument/2006/relationships/pivotCacheDefinition" Target="pivotCache/pivotCacheDefinition3.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5.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By coffee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2"/>
            </a:solidFill>
            <a:ln>
              <a:noFill/>
            </a:ln>
            <a:effectLst/>
          </c:spPr>
          <c:invertIfNegative val="0"/>
          <c:cat>
            <c:strRef>
              <c:f>Sheet1!$A$2:$A$10</c:f>
              <c:strCache>
                <c:ptCount val="8"/>
                <c:pt idx="0">
                  <c:v>Latte</c:v>
                </c:pt>
                <c:pt idx="1">
                  <c:v>Americano with Milk</c:v>
                </c:pt>
                <c:pt idx="2">
                  <c:v>Cappuccino</c:v>
                </c:pt>
                <c:pt idx="3">
                  <c:v>Americano</c:v>
                </c:pt>
                <c:pt idx="4">
                  <c:v>Cortado</c:v>
                </c:pt>
                <c:pt idx="5">
                  <c:v>Hot Chocolate</c:v>
                </c:pt>
                <c:pt idx="6">
                  <c:v>Cocoa</c:v>
                </c:pt>
                <c:pt idx="7">
                  <c:v>Espresso</c:v>
                </c:pt>
              </c:strCache>
            </c:strRef>
          </c:cat>
          <c:val>
            <c:numRef>
              <c:f>Sheet1!$B$2:$B$10</c:f>
              <c:numCache>
                <c:formatCode>General</c:formatCode>
                <c:ptCount val="8"/>
                <c:pt idx="0">
                  <c:v>10289.120000000001</c:v>
                </c:pt>
                <c:pt idx="1">
                  <c:v>10025.859999999973</c:v>
                </c:pt>
                <c:pt idx="2">
                  <c:v>8186.46</c:v>
                </c:pt>
                <c:pt idx="3">
                  <c:v>5012.8600000000006</c:v>
                </c:pt>
                <c:pt idx="4">
                  <c:v>3297.5600000000004</c:v>
                </c:pt>
                <c:pt idx="5">
                  <c:v>2942.58</c:v>
                </c:pt>
                <c:pt idx="6">
                  <c:v>1591.32</c:v>
                </c:pt>
                <c:pt idx="7">
                  <c:v>1281.8199999999986</c:v>
                </c:pt>
              </c:numCache>
            </c:numRef>
          </c:val>
          <c:extLst>
            <c:ext xmlns:c16="http://schemas.microsoft.com/office/drawing/2014/chart" uri="{C3380CC4-5D6E-409C-BE32-E72D297353CC}">
              <c16:uniqueId val="{00000000-BD65-4D6E-9142-1D66C00B72B5}"/>
            </c:ext>
          </c:extLst>
        </c:ser>
        <c:dLbls>
          <c:showLegendKey val="0"/>
          <c:showVal val="0"/>
          <c:showCatName val="0"/>
          <c:showSerName val="0"/>
          <c:showPercent val="0"/>
          <c:showBubbleSize val="0"/>
        </c:dLbls>
        <c:gapWidth val="219"/>
        <c:overlap val="-27"/>
        <c:axId val="393470832"/>
        <c:axId val="393471552"/>
      </c:barChart>
      <c:catAx>
        <c:axId val="39347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3471552"/>
        <c:crosses val="autoZero"/>
        <c:auto val="1"/>
        <c:lblAlgn val="ctr"/>
        <c:lblOffset val="100"/>
        <c:noMultiLvlLbl val="0"/>
      </c:catAx>
      <c:valAx>
        <c:axId val="39347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347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Sheet1!$I$1</c:f>
              <c:strCache>
                <c:ptCount val="1"/>
                <c:pt idx="0">
                  <c:v>Total</c:v>
                </c:pt>
              </c:strCache>
            </c:strRef>
          </c:tx>
          <c:spPr>
            <a:solidFill>
              <a:schemeClr val="accent2"/>
            </a:solidFill>
            <a:ln>
              <a:noFill/>
            </a:ln>
            <a:effectLst/>
          </c:spPr>
          <c:cat>
            <c:strRef>
              <c:f>Sheet1!$H$2:$H$8</c:f>
              <c:strCache>
                <c:ptCount val="6"/>
                <c:pt idx="0">
                  <c:v>March</c:v>
                </c:pt>
                <c:pt idx="1">
                  <c:v>April</c:v>
                </c:pt>
                <c:pt idx="2">
                  <c:v>May</c:v>
                </c:pt>
                <c:pt idx="3">
                  <c:v>June</c:v>
                </c:pt>
                <c:pt idx="4">
                  <c:v>July</c:v>
                </c:pt>
                <c:pt idx="5">
                  <c:v>August</c:v>
                </c:pt>
              </c:strCache>
            </c:strRef>
          </c:cat>
          <c:val>
            <c:numRef>
              <c:f>Sheet1!$I$2:$I$8</c:f>
              <c:numCache>
                <c:formatCode>General</c:formatCode>
                <c:ptCount val="6"/>
                <c:pt idx="0">
                  <c:v>7050.2000000000062</c:v>
                </c:pt>
                <c:pt idx="1">
                  <c:v>6720.560000000004</c:v>
                </c:pt>
                <c:pt idx="2">
                  <c:v>9063.4199999999983</c:v>
                </c:pt>
                <c:pt idx="3">
                  <c:v>7758.7599999999993</c:v>
                </c:pt>
                <c:pt idx="4">
                  <c:v>6915.94</c:v>
                </c:pt>
                <c:pt idx="5">
                  <c:v>5118.6999999999989</c:v>
                </c:pt>
              </c:numCache>
            </c:numRef>
          </c:val>
          <c:extLst>
            <c:ext xmlns:c16="http://schemas.microsoft.com/office/drawing/2014/chart" uri="{C3380CC4-5D6E-409C-BE32-E72D297353CC}">
              <c16:uniqueId val="{00000000-9EDA-4139-904E-C290CD26F63A}"/>
            </c:ext>
          </c:extLst>
        </c:ser>
        <c:dLbls>
          <c:showLegendKey val="0"/>
          <c:showVal val="0"/>
          <c:showCatName val="0"/>
          <c:showSerName val="0"/>
          <c:showPercent val="0"/>
          <c:showBubbleSize val="0"/>
        </c:dLbls>
        <c:axId val="1006969168"/>
        <c:axId val="1116637928"/>
      </c:areaChart>
      <c:catAx>
        <c:axId val="100696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637928"/>
        <c:crosses val="autoZero"/>
        <c:auto val="1"/>
        <c:lblAlgn val="ctr"/>
        <c:lblOffset val="100"/>
        <c:noMultiLvlLbl val="0"/>
      </c:catAx>
      <c:valAx>
        <c:axId val="1116637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6969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Percentage</a:t>
            </a:r>
            <a:r>
              <a:rPr lang="en-US" baseline="0">
                <a:solidFill>
                  <a:schemeClr val="tx1"/>
                </a:solidFill>
              </a:rPr>
              <a:t> by payment method</a:t>
            </a:r>
            <a:endParaRPr lang="en-US">
              <a:solidFill>
                <a:schemeClr val="tx1"/>
              </a:solidFill>
            </a:endParaRPr>
          </a:p>
        </c:rich>
      </c:tx>
      <c:layout>
        <c:manualLayout>
          <c:xMode val="edge"/>
          <c:yMode val="edge"/>
          <c:x val="0.28234910636170479"/>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dLbl>
          <c:idx val="0"/>
          <c:layout>
            <c:manualLayout>
              <c:x val="0.23619047619047609"/>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tint val="77000"/>
            </a:schemeClr>
          </a:solidFill>
          <a:ln w="19050">
            <a:solidFill>
              <a:schemeClr val="lt1"/>
            </a:solidFill>
          </a:ln>
          <a:effectLst/>
        </c:spPr>
        <c:dLbl>
          <c:idx val="0"/>
          <c:layout>
            <c:manualLayout>
              <c:x val="-0.16"/>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359015123109604"/>
          <c:y val="0.24055263925342665"/>
          <c:w val="0.36614923134608174"/>
          <c:h val="0.66745953630796151"/>
        </c:manualLayout>
      </c:layout>
      <c:doughnutChart>
        <c:varyColors val="1"/>
        <c:ser>
          <c:idx val="0"/>
          <c:order val="0"/>
          <c:tx>
            <c:strRef>
              <c:f>Sheet1!$B$14</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EE86-4054-8030-E88900E9FCBE}"/>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EE86-4054-8030-E88900E9FCBE}"/>
              </c:ext>
            </c:extLst>
          </c:dPt>
          <c:dLbls>
            <c:dLbl>
              <c:idx val="0"/>
              <c:layout>
                <c:manualLayout>
                  <c:x val="0.23619047619047609"/>
                  <c:y val="6.01851851851851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86-4054-8030-E88900E9FCBE}"/>
                </c:ext>
              </c:extLst>
            </c:dLbl>
            <c:dLbl>
              <c:idx val="1"/>
              <c:layout>
                <c:manualLayout>
                  <c:x val="-0.16"/>
                  <c:y val="-6.0185185185185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86-4054-8030-E88900E9FC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Sheet1!$A$15:$A$17</c:f>
              <c:strCache>
                <c:ptCount val="2"/>
                <c:pt idx="0">
                  <c:v>card</c:v>
                </c:pt>
                <c:pt idx="1">
                  <c:v>cash</c:v>
                </c:pt>
              </c:strCache>
            </c:strRef>
          </c:cat>
          <c:val>
            <c:numRef>
              <c:f>Sheet1!$B$15:$B$17</c:f>
              <c:numCache>
                <c:formatCode>0.00%</c:formatCode>
                <c:ptCount val="2"/>
                <c:pt idx="0">
                  <c:v>0.92525965583784442</c:v>
                </c:pt>
                <c:pt idx="1">
                  <c:v>7.47403441621598E-2</c:v>
                </c:pt>
              </c:numCache>
            </c:numRef>
          </c:val>
          <c:extLst>
            <c:ext xmlns:c16="http://schemas.microsoft.com/office/drawing/2014/chart" uri="{C3380CC4-5D6E-409C-BE32-E72D297353CC}">
              <c16:uniqueId val="{00000000-1D92-40D1-B301-E71ACEE3A0A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Timely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Sheet1!$I$13</c:f>
              <c:strCache>
                <c:ptCount val="1"/>
                <c:pt idx="0">
                  <c:v>Total</c:v>
                </c:pt>
              </c:strCache>
            </c:strRef>
          </c:tx>
          <c:spPr>
            <a:solidFill>
              <a:schemeClr val="accent2"/>
            </a:solidFill>
            <a:ln>
              <a:noFill/>
            </a:ln>
            <a:effectLst/>
          </c:spPr>
          <c:invertIfNegative val="0"/>
          <c:cat>
            <c:strRef>
              <c:f>Sheet1!$H$14:$H$18</c:f>
              <c:strCache>
                <c:ptCount val="4"/>
                <c:pt idx="0">
                  <c:v>Morning</c:v>
                </c:pt>
                <c:pt idx="1">
                  <c:v>Afternoon</c:v>
                </c:pt>
                <c:pt idx="2">
                  <c:v>Evening</c:v>
                </c:pt>
                <c:pt idx="3">
                  <c:v>Night</c:v>
                </c:pt>
              </c:strCache>
            </c:strRef>
          </c:cat>
          <c:val>
            <c:numRef>
              <c:f>Sheet1!$I$14:$I$18</c:f>
              <c:numCache>
                <c:formatCode>General</c:formatCode>
                <c:ptCount val="4"/>
                <c:pt idx="0">
                  <c:v>21289.559999999976</c:v>
                </c:pt>
                <c:pt idx="1">
                  <c:v>8937.6200000000026</c:v>
                </c:pt>
                <c:pt idx="2">
                  <c:v>7092.840000000002</c:v>
                </c:pt>
                <c:pt idx="3">
                  <c:v>5307.56</c:v>
                </c:pt>
              </c:numCache>
            </c:numRef>
          </c:val>
          <c:extLst>
            <c:ext xmlns:c16="http://schemas.microsoft.com/office/drawing/2014/chart" uri="{C3380CC4-5D6E-409C-BE32-E72D297353CC}">
              <c16:uniqueId val="{00000000-F01F-4F97-A55A-90609B2C44A8}"/>
            </c:ext>
          </c:extLst>
        </c:ser>
        <c:dLbls>
          <c:showLegendKey val="0"/>
          <c:showVal val="0"/>
          <c:showCatName val="0"/>
          <c:showSerName val="0"/>
          <c:showPercent val="0"/>
          <c:showBubbleSize val="0"/>
        </c:dLbls>
        <c:gapWidth val="182"/>
        <c:axId val="1116557976"/>
        <c:axId val="1116553296"/>
      </c:barChart>
      <c:catAx>
        <c:axId val="1116557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553296"/>
        <c:crosses val="autoZero"/>
        <c:auto val="1"/>
        <c:lblAlgn val="ctr"/>
        <c:lblOffset val="100"/>
        <c:noMultiLvlLbl val="0"/>
      </c:catAx>
      <c:valAx>
        <c:axId val="111655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557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2138051709055"/>
          <c:y val="0.22263888888888889"/>
          <c:w val="0.82863559296467248"/>
          <c:h val="0.48729622338874307"/>
        </c:manualLayout>
      </c:layout>
      <c:barChart>
        <c:barDir val="col"/>
        <c:grouping val="clustered"/>
        <c:varyColors val="0"/>
        <c:ser>
          <c:idx val="0"/>
          <c:order val="0"/>
          <c:tx>
            <c:strRef>
              <c:f>Sheet2!$B$1</c:f>
              <c:strCache>
                <c:ptCount val="1"/>
                <c:pt idx="0">
                  <c:v>Total</c:v>
                </c:pt>
              </c:strCache>
            </c:strRef>
          </c:tx>
          <c:spPr>
            <a:solidFill>
              <a:schemeClr val="accent2"/>
            </a:solidFill>
            <a:ln>
              <a:noFill/>
            </a:ln>
            <a:effectLst/>
          </c:spPr>
          <c:invertIfNegative val="0"/>
          <c:cat>
            <c:strRef>
              <c:f>Sheet2!$A$2:$A$10</c:f>
              <c:strCache>
                <c:ptCount val="8"/>
                <c:pt idx="0">
                  <c:v>Americano with Milk</c:v>
                </c:pt>
                <c:pt idx="1">
                  <c:v>Americano</c:v>
                </c:pt>
                <c:pt idx="2">
                  <c:v>Latte</c:v>
                </c:pt>
                <c:pt idx="3">
                  <c:v>Cappuccino</c:v>
                </c:pt>
                <c:pt idx="4">
                  <c:v>Cortado</c:v>
                </c:pt>
                <c:pt idx="5">
                  <c:v>Hot Chocolate</c:v>
                </c:pt>
                <c:pt idx="6">
                  <c:v>Espresso</c:v>
                </c:pt>
                <c:pt idx="7">
                  <c:v>Cocoa</c:v>
                </c:pt>
              </c:strCache>
            </c:strRef>
          </c:cat>
          <c:val>
            <c:numRef>
              <c:f>Sheet2!$B$2:$B$10</c:f>
              <c:numCache>
                <c:formatCode>General</c:formatCode>
                <c:ptCount val="8"/>
                <c:pt idx="0">
                  <c:v>40</c:v>
                </c:pt>
                <c:pt idx="1">
                  <c:v>38</c:v>
                </c:pt>
                <c:pt idx="2">
                  <c:v>36</c:v>
                </c:pt>
                <c:pt idx="3">
                  <c:v>34</c:v>
                </c:pt>
                <c:pt idx="4">
                  <c:v>13</c:v>
                </c:pt>
                <c:pt idx="5">
                  <c:v>6</c:v>
                </c:pt>
                <c:pt idx="6">
                  <c:v>5</c:v>
                </c:pt>
                <c:pt idx="7">
                  <c:v>5</c:v>
                </c:pt>
              </c:numCache>
            </c:numRef>
          </c:val>
          <c:extLst>
            <c:ext xmlns:c16="http://schemas.microsoft.com/office/drawing/2014/chart" uri="{C3380CC4-5D6E-409C-BE32-E72D297353CC}">
              <c16:uniqueId val="{00000000-349E-4867-A6ED-772B37ED4794}"/>
            </c:ext>
          </c:extLst>
        </c:ser>
        <c:dLbls>
          <c:showLegendKey val="0"/>
          <c:showVal val="0"/>
          <c:showCatName val="0"/>
          <c:showSerName val="0"/>
          <c:showPercent val="0"/>
          <c:showBubbleSize val="0"/>
        </c:dLbls>
        <c:gapWidth val="219"/>
        <c:overlap val="-27"/>
        <c:axId val="1116606968"/>
        <c:axId val="1116611288"/>
      </c:barChart>
      <c:catAx>
        <c:axId val="111660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611288"/>
        <c:crosses val="autoZero"/>
        <c:auto val="1"/>
        <c:lblAlgn val="ctr"/>
        <c:lblOffset val="100"/>
        <c:noMultiLvlLbl val="0"/>
      </c:catAx>
      <c:valAx>
        <c:axId val="1116611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606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85914260717412"/>
          <c:y val="0.26328484981044037"/>
          <c:w val="0.52184448818897633"/>
          <c:h val="0.6293157626130067"/>
        </c:manualLayout>
      </c:layout>
      <c:barChart>
        <c:barDir val="bar"/>
        <c:grouping val="clustered"/>
        <c:varyColors val="0"/>
        <c:ser>
          <c:idx val="0"/>
          <c:order val="0"/>
          <c:tx>
            <c:strRef>
              <c:f>Sheet2!$H$1</c:f>
              <c:strCache>
                <c:ptCount val="1"/>
                <c:pt idx="0">
                  <c:v>Total</c:v>
                </c:pt>
              </c:strCache>
            </c:strRef>
          </c:tx>
          <c:spPr>
            <a:solidFill>
              <a:schemeClr val="accent2"/>
            </a:solidFill>
            <a:ln>
              <a:noFill/>
            </a:ln>
            <a:effectLst/>
          </c:spPr>
          <c:invertIfNegative val="0"/>
          <c:cat>
            <c:strRef>
              <c:f>Sheet2!$G$2:$G$6</c:f>
              <c:strCache>
                <c:ptCount val="4"/>
                <c:pt idx="0">
                  <c:v>Morning</c:v>
                </c:pt>
                <c:pt idx="1">
                  <c:v>Afternoon</c:v>
                </c:pt>
                <c:pt idx="2">
                  <c:v>Evening</c:v>
                </c:pt>
                <c:pt idx="3">
                  <c:v>Night</c:v>
                </c:pt>
              </c:strCache>
            </c:strRef>
          </c:cat>
          <c:val>
            <c:numRef>
              <c:f>Sheet2!$H$2:$H$6</c:f>
              <c:numCache>
                <c:formatCode>General</c:formatCode>
                <c:ptCount val="4"/>
                <c:pt idx="0">
                  <c:v>93</c:v>
                </c:pt>
                <c:pt idx="1">
                  <c:v>39</c:v>
                </c:pt>
                <c:pt idx="2">
                  <c:v>28</c:v>
                </c:pt>
                <c:pt idx="3">
                  <c:v>17</c:v>
                </c:pt>
              </c:numCache>
            </c:numRef>
          </c:val>
          <c:extLst>
            <c:ext xmlns:c16="http://schemas.microsoft.com/office/drawing/2014/chart" uri="{C3380CC4-5D6E-409C-BE32-E72D297353CC}">
              <c16:uniqueId val="{00000000-CD06-46FA-9004-AF404ADF41E0}"/>
            </c:ext>
          </c:extLst>
        </c:ser>
        <c:dLbls>
          <c:showLegendKey val="0"/>
          <c:showVal val="0"/>
          <c:showCatName val="0"/>
          <c:showSerName val="0"/>
          <c:showPercent val="0"/>
          <c:showBubbleSize val="0"/>
        </c:dLbls>
        <c:gapWidth val="182"/>
        <c:axId val="1116625688"/>
        <c:axId val="1116621728"/>
      </c:barChart>
      <c:catAx>
        <c:axId val="1116625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621728"/>
        <c:crosses val="autoZero"/>
        <c:auto val="1"/>
        <c:lblAlgn val="ctr"/>
        <c:lblOffset val="100"/>
        <c:noMultiLvlLbl val="0"/>
      </c:catAx>
      <c:valAx>
        <c:axId val="111662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625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Sheet2!$B$28</c:f>
              <c:strCache>
                <c:ptCount val="1"/>
                <c:pt idx="0">
                  <c:v>Total</c:v>
                </c:pt>
              </c:strCache>
            </c:strRef>
          </c:tx>
          <c:spPr>
            <a:solidFill>
              <a:schemeClr val="accent2"/>
            </a:solidFill>
            <a:ln>
              <a:noFill/>
            </a:ln>
            <a:effectLst/>
          </c:spPr>
          <c:cat>
            <c:strRef>
              <c:f>Sheet2!$A$29:$A$35</c:f>
              <c:strCache>
                <c:ptCount val="6"/>
                <c:pt idx="0">
                  <c:v>March</c:v>
                </c:pt>
                <c:pt idx="1">
                  <c:v>April</c:v>
                </c:pt>
                <c:pt idx="2">
                  <c:v>May</c:v>
                </c:pt>
                <c:pt idx="3">
                  <c:v>June</c:v>
                </c:pt>
                <c:pt idx="4">
                  <c:v>July</c:v>
                </c:pt>
                <c:pt idx="5">
                  <c:v>August</c:v>
                </c:pt>
              </c:strCache>
            </c:strRef>
          </c:cat>
          <c:val>
            <c:numRef>
              <c:f>Sheet2!$B$29:$B$35</c:f>
              <c:numCache>
                <c:formatCode>General</c:formatCode>
                <c:ptCount val="6"/>
                <c:pt idx="0">
                  <c:v>22</c:v>
                </c:pt>
                <c:pt idx="1">
                  <c:v>35</c:v>
                </c:pt>
                <c:pt idx="2">
                  <c:v>41</c:v>
                </c:pt>
                <c:pt idx="3">
                  <c:v>29</c:v>
                </c:pt>
                <c:pt idx="4">
                  <c:v>24</c:v>
                </c:pt>
                <c:pt idx="5">
                  <c:v>26</c:v>
                </c:pt>
              </c:numCache>
            </c:numRef>
          </c:val>
          <c:extLst>
            <c:ext xmlns:c16="http://schemas.microsoft.com/office/drawing/2014/chart" uri="{C3380CC4-5D6E-409C-BE32-E72D297353CC}">
              <c16:uniqueId val="{00000000-618B-4918-A9D3-8FF20B479CB6}"/>
            </c:ext>
          </c:extLst>
        </c:ser>
        <c:dLbls>
          <c:showLegendKey val="0"/>
          <c:showVal val="0"/>
          <c:showCatName val="0"/>
          <c:showSerName val="0"/>
          <c:showPercent val="0"/>
          <c:showBubbleSize val="0"/>
        </c:dLbls>
        <c:axId val="1116559056"/>
        <c:axId val="1116559416"/>
      </c:areaChart>
      <c:catAx>
        <c:axId val="1116559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9416"/>
        <c:crosses val="autoZero"/>
        <c:auto val="1"/>
        <c:lblAlgn val="ctr"/>
        <c:lblOffset val="100"/>
        <c:noMultiLvlLbl val="0"/>
      </c:catAx>
      <c:valAx>
        <c:axId val="1116559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9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doughnutChart>
        <c:varyColors val="1"/>
        <c:ser>
          <c:idx val="0"/>
          <c:order val="0"/>
          <c:tx>
            <c:strRef>
              <c:f>Sheet2!$I$28</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11D1-4CA7-93E8-675D63411ABD}"/>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11D1-4CA7-93E8-675D63411ABD}"/>
              </c:ext>
            </c:extLst>
          </c:dPt>
          <c:cat>
            <c:strRef>
              <c:f>Sheet2!$H$29:$H$31</c:f>
              <c:strCache>
                <c:ptCount val="2"/>
                <c:pt idx="0">
                  <c:v>card</c:v>
                </c:pt>
                <c:pt idx="1">
                  <c:v>cash</c:v>
                </c:pt>
              </c:strCache>
            </c:strRef>
          </c:cat>
          <c:val>
            <c:numRef>
              <c:f>Sheet2!$I$29:$I$31</c:f>
              <c:numCache>
                <c:formatCode>0.00%</c:formatCode>
                <c:ptCount val="2"/>
                <c:pt idx="0">
                  <c:v>0.903954802259887</c:v>
                </c:pt>
                <c:pt idx="1">
                  <c:v>9.6045197740112997E-2</c:v>
                </c:pt>
              </c:numCache>
            </c:numRef>
          </c:val>
          <c:extLst>
            <c:ext xmlns:c16="http://schemas.microsoft.com/office/drawing/2014/chart" uri="{C3380CC4-5D6E-409C-BE32-E72D297353CC}">
              <c16:uniqueId val="{00000000-FB9F-4855-81E9-D08798BCE7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analysis.xlsx]Sheet1!PivotTable1</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By coffee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04998288257466E-2"/>
          <c:y val="0.18943868858497948"/>
          <c:w val="0.86486351706036746"/>
          <c:h val="0.48729622338874307"/>
        </c:manualLayout>
      </c:layout>
      <c:barChart>
        <c:barDir val="col"/>
        <c:grouping val="clustered"/>
        <c:varyColors val="0"/>
        <c:ser>
          <c:idx val="0"/>
          <c:order val="0"/>
          <c:tx>
            <c:strRef>
              <c:f>Sheet1!$B$1</c:f>
              <c:strCache>
                <c:ptCount val="1"/>
                <c:pt idx="0">
                  <c:v>Total</c:v>
                </c:pt>
              </c:strCache>
            </c:strRef>
          </c:tx>
          <c:spPr>
            <a:solidFill>
              <a:schemeClr val="accent2"/>
            </a:solidFill>
            <a:ln>
              <a:noFill/>
            </a:ln>
            <a:effectLst/>
          </c:spPr>
          <c:invertIfNegative val="0"/>
          <c:cat>
            <c:strRef>
              <c:f>Sheet1!$A$2:$A$10</c:f>
              <c:strCache>
                <c:ptCount val="8"/>
                <c:pt idx="0">
                  <c:v>Latte</c:v>
                </c:pt>
                <c:pt idx="1">
                  <c:v>Americano with Milk</c:v>
                </c:pt>
                <c:pt idx="2">
                  <c:v>Cappuccino</c:v>
                </c:pt>
                <c:pt idx="3">
                  <c:v>Americano</c:v>
                </c:pt>
                <c:pt idx="4">
                  <c:v>Cortado</c:v>
                </c:pt>
                <c:pt idx="5">
                  <c:v>Hot Chocolate</c:v>
                </c:pt>
                <c:pt idx="6">
                  <c:v>Cocoa</c:v>
                </c:pt>
                <c:pt idx="7">
                  <c:v>Espresso</c:v>
                </c:pt>
              </c:strCache>
            </c:strRef>
          </c:cat>
          <c:val>
            <c:numRef>
              <c:f>Sheet1!$B$2:$B$10</c:f>
              <c:numCache>
                <c:formatCode>General</c:formatCode>
                <c:ptCount val="8"/>
                <c:pt idx="0">
                  <c:v>10289.120000000001</c:v>
                </c:pt>
                <c:pt idx="1">
                  <c:v>10025.859999999973</c:v>
                </c:pt>
                <c:pt idx="2">
                  <c:v>8186.46</c:v>
                </c:pt>
                <c:pt idx="3">
                  <c:v>5012.8600000000006</c:v>
                </c:pt>
                <c:pt idx="4">
                  <c:v>3297.5600000000004</c:v>
                </c:pt>
                <c:pt idx="5">
                  <c:v>2942.58</c:v>
                </c:pt>
                <c:pt idx="6">
                  <c:v>1591.32</c:v>
                </c:pt>
                <c:pt idx="7">
                  <c:v>1281.8199999999986</c:v>
                </c:pt>
              </c:numCache>
            </c:numRef>
          </c:val>
          <c:extLst>
            <c:ext xmlns:c16="http://schemas.microsoft.com/office/drawing/2014/chart" uri="{C3380CC4-5D6E-409C-BE32-E72D297353CC}">
              <c16:uniqueId val="{00000000-1737-4DED-9850-1C78D36CBF15}"/>
            </c:ext>
          </c:extLst>
        </c:ser>
        <c:dLbls>
          <c:showLegendKey val="0"/>
          <c:showVal val="0"/>
          <c:showCatName val="0"/>
          <c:showSerName val="0"/>
          <c:showPercent val="0"/>
          <c:showBubbleSize val="0"/>
        </c:dLbls>
        <c:gapWidth val="219"/>
        <c:overlap val="-27"/>
        <c:axId val="393470832"/>
        <c:axId val="393471552"/>
      </c:barChart>
      <c:catAx>
        <c:axId val="39347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3471552"/>
        <c:crosses val="autoZero"/>
        <c:auto val="1"/>
        <c:lblAlgn val="ctr"/>
        <c:lblOffset val="100"/>
        <c:noMultiLvlLbl val="0"/>
      </c:catAx>
      <c:valAx>
        <c:axId val="39347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347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Timely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2128682512817"/>
          <c:y val="0.10702489307711552"/>
          <c:w val="0.79225196850393698"/>
          <c:h val="0.72088764946048411"/>
        </c:manualLayout>
      </c:layout>
      <c:barChart>
        <c:barDir val="bar"/>
        <c:grouping val="clustered"/>
        <c:varyColors val="0"/>
        <c:ser>
          <c:idx val="0"/>
          <c:order val="0"/>
          <c:tx>
            <c:strRef>
              <c:f>Sheet1!$I$13</c:f>
              <c:strCache>
                <c:ptCount val="1"/>
                <c:pt idx="0">
                  <c:v>Total</c:v>
                </c:pt>
              </c:strCache>
            </c:strRef>
          </c:tx>
          <c:spPr>
            <a:solidFill>
              <a:schemeClr val="accent2"/>
            </a:solidFill>
            <a:ln>
              <a:noFill/>
            </a:ln>
            <a:effectLst/>
          </c:spPr>
          <c:invertIfNegative val="0"/>
          <c:cat>
            <c:strRef>
              <c:f>Sheet1!$H$14:$H$18</c:f>
              <c:strCache>
                <c:ptCount val="4"/>
                <c:pt idx="0">
                  <c:v>Morning</c:v>
                </c:pt>
                <c:pt idx="1">
                  <c:v>Afternoon</c:v>
                </c:pt>
                <c:pt idx="2">
                  <c:v>Evening</c:v>
                </c:pt>
                <c:pt idx="3">
                  <c:v>Night</c:v>
                </c:pt>
              </c:strCache>
            </c:strRef>
          </c:cat>
          <c:val>
            <c:numRef>
              <c:f>Sheet1!$I$14:$I$18</c:f>
              <c:numCache>
                <c:formatCode>General</c:formatCode>
                <c:ptCount val="4"/>
                <c:pt idx="0">
                  <c:v>21289.559999999976</c:v>
                </c:pt>
                <c:pt idx="1">
                  <c:v>8937.6200000000026</c:v>
                </c:pt>
                <c:pt idx="2">
                  <c:v>7092.840000000002</c:v>
                </c:pt>
                <c:pt idx="3">
                  <c:v>5307.56</c:v>
                </c:pt>
              </c:numCache>
            </c:numRef>
          </c:val>
          <c:extLst>
            <c:ext xmlns:c16="http://schemas.microsoft.com/office/drawing/2014/chart" uri="{C3380CC4-5D6E-409C-BE32-E72D297353CC}">
              <c16:uniqueId val="{00000000-FE45-419D-AF59-DBED9036F425}"/>
            </c:ext>
          </c:extLst>
        </c:ser>
        <c:dLbls>
          <c:showLegendKey val="0"/>
          <c:showVal val="0"/>
          <c:showCatName val="0"/>
          <c:showSerName val="0"/>
          <c:showPercent val="0"/>
          <c:showBubbleSize val="0"/>
        </c:dLbls>
        <c:gapWidth val="182"/>
        <c:axId val="1116557976"/>
        <c:axId val="1116553296"/>
      </c:barChart>
      <c:catAx>
        <c:axId val="1116557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553296"/>
        <c:crosses val="autoZero"/>
        <c:auto val="1"/>
        <c:lblAlgn val="ctr"/>
        <c:lblOffset val="100"/>
        <c:noMultiLvlLbl val="0"/>
      </c:catAx>
      <c:valAx>
        <c:axId val="1116553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557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analysis.xlsx]Sheet1!PivotTable2</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Sheet1!$I$1</c:f>
              <c:strCache>
                <c:ptCount val="1"/>
                <c:pt idx="0">
                  <c:v>Total</c:v>
                </c:pt>
              </c:strCache>
            </c:strRef>
          </c:tx>
          <c:spPr>
            <a:solidFill>
              <a:schemeClr val="accent2"/>
            </a:solidFill>
            <a:ln>
              <a:noFill/>
            </a:ln>
            <a:effectLst/>
          </c:spPr>
          <c:cat>
            <c:strRef>
              <c:f>Sheet1!$H$2:$H$8</c:f>
              <c:strCache>
                <c:ptCount val="6"/>
                <c:pt idx="0">
                  <c:v>March</c:v>
                </c:pt>
                <c:pt idx="1">
                  <c:v>April</c:v>
                </c:pt>
                <c:pt idx="2">
                  <c:v>May</c:v>
                </c:pt>
                <c:pt idx="3">
                  <c:v>June</c:v>
                </c:pt>
                <c:pt idx="4">
                  <c:v>July</c:v>
                </c:pt>
                <c:pt idx="5">
                  <c:v>August</c:v>
                </c:pt>
              </c:strCache>
            </c:strRef>
          </c:cat>
          <c:val>
            <c:numRef>
              <c:f>Sheet1!$I$2:$I$8</c:f>
              <c:numCache>
                <c:formatCode>General</c:formatCode>
                <c:ptCount val="6"/>
                <c:pt idx="0">
                  <c:v>7050.2000000000062</c:v>
                </c:pt>
                <c:pt idx="1">
                  <c:v>6720.560000000004</c:v>
                </c:pt>
                <c:pt idx="2">
                  <c:v>9063.4199999999983</c:v>
                </c:pt>
                <c:pt idx="3">
                  <c:v>7758.7599999999993</c:v>
                </c:pt>
                <c:pt idx="4">
                  <c:v>6915.94</c:v>
                </c:pt>
                <c:pt idx="5">
                  <c:v>5118.6999999999989</c:v>
                </c:pt>
              </c:numCache>
            </c:numRef>
          </c:val>
          <c:extLst>
            <c:ext xmlns:c16="http://schemas.microsoft.com/office/drawing/2014/chart" uri="{C3380CC4-5D6E-409C-BE32-E72D297353CC}">
              <c16:uniqueId val="{00000000-1390-4F7F-821C-868693122E79}"/>
            </c:ext>
          </c:extLst>
        </c:ser>
        <c:dLbls>
          <c:showLegendKey val="0"/>
          <c:showVal val="0"/>
          <c:showCatName val="0"/>
          <c:showSerName val="0"/>
          <c:showPercent val="0"/>
          <c:showBubbleSize val="0"/>
        </c:dLbls>
        <c:axId val="1006969168"/>
        <c:axId val="1116637928"/>
      </c:areaChart>
      <c:catAx>
        <c:axId val="100696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637928"/>
        <c:crosses val="autoZero"/>
        <c:auto val="1"/>
        <c:lblAlgn val="ctr"/>
        <c:lblOffset val="100"/>
        <c:noMultiLvlLbl val="0"/>
      </c:catAx>
      <c:valAx>
        <c:axId val="1116637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6969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analysis.xlsx]Sheet1!PivotTable3</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a:solidFill>
                  <a:schemeClr val="tx1"/>
                </a:solidFill>
              </a:rPr>
              <a:t>Percentage</a:t>
            </a:r>
            <a:r>
              <a:rPr lang="en-US" sz="1100" baseline="0">
                <a:solidFill>
                  <a:schemeClr val="tx1"/>
                </a:solidFill>
              </a:rPr>
              <a:t> by payment method</a:t>
            </a:r>
            <a:endParaRPr lang="en-US" sz="1100">
              <a:solidFill>
                <a:schemeClr val="tx1"/>
              </a:solidFill>
            </a:endParaRPr>
          </a:p>
        </c:rich>
      </c:tx>
      <c:layout>
        <c:manualLayout>
          <c:xMode val="edge"/>
          <c:yMode val="edge"/>
          <c:x val="0.28234910636170479"/>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dLbl>
          <c:idx val="0"/>
          <c:layout>
            <c:manualLayout>
              <c:x val="0.23619047619047609"/>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tint val="77000"/>
            </a:schemeClr>
          </a:solidFill>
          <a:ln w="19050">
            <a:solidFill>
              <a:schemeClr val="lt1"/>
            </a:solidFill>
          </a:ln>
          <a:effectLst/>
        </c:spPr>
        <c:dLbl>
          <c:idx val="0"/>
          <c:layout>
            <c:manualLayout>
              <c:x val="-0.16"/>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hade val="76000"/>
            </a:schemeClr>
          </a:solidFill>
          <a:ln w="19050">
            <a:solidFill>
              <a:schemeClr val="lt1"/>
            </a:solidFill>
          </a:ln>
          <a:effectLst/>
        </c:spPr>
        <c:dLbl>
          <c:idx val="0"/>
          <c:layout>
            <c:manualLayout>
              <c:x val="0.23619047619047609"/>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tint val="77000"/>
            </a:schemeClr>
          </a:solidFill>
          <a:ln w="19050">
            <a:solidFill>
              <a:schemeClr val="lt1"/>
            </a:solidFill>
          </a:ln>
          <a:effectLst/>
        </c:spPr>
        <c:dLbl>
          <c:idx val="0"/>
          <c:layout>
            <c:manualLayout>
              <c:x val="-0.16"/>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hade val="76000"/>
            </a:schemeClr>
          </a:solidFill>
          <a:ln w="19050">
            <a:solidFill>
              <a:schemeClr val="lt1"/>
            </a:solidFill>
          </a:ln>
          <a:effectLst/>
        </c:spPr>
        <c:dLbl>
          <c:idx val="0"/>
          <c:layout>
            <c:manualLayout>
              <c:x val="0.23619047619047609"/>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tint val="77000"/>
            </a:schemeClr>
          </a:solidFill>
          <a:ln w="19050">
            <a:solidFill>
              <a:schemeClr val="lt1"/>
            </a:solidFill>
          </a:ln>
          <a:effectLst/>
        </c:spPr>
        <c:dLbl>
          <c:idx val="0"/>
          <c:layout>
            <c:manualLayout>
              <c:x val="-0.24489388264669162"/>
              <c:y val="0.17129642118432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359015123109604"/>
          <c:y val="0.24055263925342665"/>
          <c:w val="0.36614923134608174"/>
          <c:h val="0.66745953630796151"/>
        </c:manualLayout>
      </c:layout>
      <c:doughnutChart>
        <c:varyColors val="1"/>
        <c:ser>
          <c:idx val="0"/>
          <c:order val="0"/>
          <c:tx>
            <c:strRef>
              <c:f>Sheet1!$B$14</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16C0-4963-8DE8-E788AE5F6806}"/>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16C0-4963-8DE8-E788AE5F6806}"/>
              </c:ext>
            </c:extLst>
          </c:dPt>
          <c:dLbls>
            <c:dLbl>
              <c:idx val="0"/>
              <c:layout>
                <c:manualLayout>
                  <c:x val="0.23619047619047609"/>
                  <c:y val="6.01851851851851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C0-4963-8DE8-E788AE5F6806}"/>
                </c:ext>
              </c:extLst>
            </c:dLbl>
            <c:dLbl>
              <c:idx val="1"/>
              <c:layout>
                <c:manualLayout>
                  <c:x val="-0.24489388264669162"/>
                  <c:y val="0.1712964211843257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C0-4963-8DE8-E788AE5F68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Sheet1!$A$15:$A$17</c:f>
              <c:strCache>
                <c:ptCount val="2"/>
                <c:pt idx="0">
                  <c:v>card</c:v>
                </c:pt>
                <c:pt idx="1">
                  <c:v>cash</c:v>
                </c:pt>
              </c:strCache>
            </c:strRef>
          </c:cat>
          <c:val>
            <c:numRef>
              <c:f>Sheet1!$B$15:$B$17</c:f>
              <c:numCache>
                <c:formatCode>0.00%</c:formatCode>
                <c:ptCount val="2"/>
                <c:pt idx="0">
                  <c:v>0.92525965583784442</c:v>
                </c:pt>
                <c:pt idx="1">
                  <c:v>7.47403441621598E-2</c:v>
                </c:pt>
              </c:numCache>
            </c:numRef>
          </c:val>
          <c:extLst>
            <c:ext xmlns:c16="http://schemas.microsoft.com/office/drawing/2014/chart" uri="{C3380CC4-5D6E-409C-BE32-E72D297353CC}">
              <c16:uniqueId val="{00000004-16C0-4963-8DE8-E788AE5F680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analysis.xlsx]Sheet5!PivotTable2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Total Saled Daily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Sheet5!$I$1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Sheet5!$H$2:$H$9</c:f>
              <c:strCache>
                <c:ptCount val="7"/>
                <c:pt idx="0">
                  <c:v>Sunday</c:v>
                </c:pt>
                <c:pt idx="1">
                  <c:v>Monday</c:v>
                </c:pt>
                <c:pt idx="2">
                  <c:v>Tuesday</c:v>
                </c:pt>
                <c:pt idx="3">
                  <c:v>Wednesday</c:v>
                </c:pt>
                <c:pt idx="4">
                  <c:v>Thursday</c:v>
                </c:pt>
                <c:pt idx="5">
                  <c:v>Friday</c:v>
                </c:pt>
                <c:pt idx="6">
                  <c:v>Saturday</c:v>
                </c:pt>
              </c:strCache>
            </c:strRef>
          </c:cat>
          <c:val>
            <c:numRef>
              <c:f>Sheet5!$I$2:$I$9</c:f>
              <c:numCache>
                <c:formatCode>General</c:formatCode>
                <c:ptCount val="7"/>
                <c:pt idx="0">
                  <c:v>5680.62</c:v>
                </c:pt>
                <c:pt idx="1">
                  <c:v>5739.7</c:v>
                </c:pt>
                <c:pt idx="2">
                  <c:v>6722.9000000000015</c:v>
                </c:pt>
                <c:pt idx="3">
                  <c:v>5954.6600000000008</c:v>
                </c:pt>
                <c:pt idx="4">
                  <c:v>6457.16</c:v>
                </c:pt>
                <c:pt idx="5">
                  <c:v>5864.380000000001</c:v>
                </c:pt>
                <c:pt idx="6">
                  <c:v>6208.1600000000026</c:v>
                </c:pt>
              </c:numCache>
            </c:numRef>
          </c:val>
          <c:smooth val="0"/>
          <c:extLst>
            <c:ext xmlns:c16="http://schemas.microsoft.com/office/drawing/2014/chart" uri="{C3380CC4-5D6E-409C-BE32-E72D297353CC}">
              <c16:uniqueId val="{00000000-C3FE-4D39-9F92-E183D4083741}"/>
            </c:ext>
          </c:extLst>
        </c:ser>
        <c:dLbls>
          <c:showLegendKey val="0"/>
          <c:showVal val="0"/>
          <c:showCatName val="0"/>
          <c:showSerName val="0"/>
          <c:showPercent val="0"/>
          <c:showBubbleSize val="0"/>
        </c:dLbls>
        <c:marker val="1"/>
        <c:smooth val="0"/>
        <c:axId val="729813992"/>
        <c:axId val="729812192"/>
      </c:lineChart>
      <c:catAx>
        <c:axId val="72981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9812192"/>
        <c:crosses val="autoZero"/>
        <c:auto val="1"/>
        <c:lblAlgn val="ctr"/>
        <c:lblOffset val="100"/>
        <c:noMultiLvlLbl val="0"/>
      </c:catAx>
      <c:valAx>
        <c:axId val="72981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9813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analysis.xlsx]Sheet2!PivotTable5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orders</a:t>
            </a:r>
            <a:r>
              <a:rPr lang="en-US" baseline="0">
                <a:solidFill>
                  <a:schemeClr val="tx1"/>
                </a:solidFill>
              </a:rPr>
              <a:t> by coffee name</a:t>
            </a:r>
            <a:r>
              <a:rPr lang="en-US">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1776353905523"/>
          <c:y val="0.15135661477429824"/>
          <c:w val="0.82863559296467248"/>
          <c:h val="0.48729622338874307"/>
        </c:manualLayout>
      </c:layout>
      <c:barChart>
        <c:barDir val="col"/>
        <c:grouping val="clustered"/>
        <c:varyColors val="0"/>
        <c:ser>
          <c:idx val="0"/>
          <c:order val="0"/>
          <c:tx>
            <c:strRef>
              <c:f>Sheet2!$B$1</c:f>
              <c:strCache>
                <c:ptCount val="1"/>
                <c:pt idx="0">
                  <c:v>Total</c:v>
                </c:pt>
              </c:strCache>
            </c:strRef>
          </c:tx>
          <c:spPr>
            <a:solidFill>
              <a:schemeClr val="accent2"/>
            </a:solidFill>
            <a:ln>
              <a:noFill/>
            </a:ln>
            <a:effectLst/>
          </c:spPr>
          <c:invertIfNegative val="0"/>
          <c:cat>
            <c:strRef>
              <c:f>Sheet2!$A$2:$A$10</c:f>
              <c:strCache>
                <c:ptCount val="8"/>
                <c:pt idx="0">
                  <c:v>Americano with Milk</c:v>
                </c:pt>
                <c:pt idx="1">
                  <c:v>Americano</c:v>
                </c:pt>
                <c:pt idx="2">
                  <c:v>Latte</c:v>
                </c:pt>
                <c:pt idx="3">
                  <c:v>Cappuccino</c:v>
                </c:pt>
                <c:pt idx="4">
                  <c:v>Cortado</c:v>
                </c:pt>
                <c:pt idx="5">
                  <c:v>Hot Chocolate</c:v>
                </c:pt>
                <c:pt idx="6">
                  <c:v>Espresso</c:v>
                </c:pt>
                <c:pt idx="7">
                  <c:v>Cocoa</c:v>
                </c:pt>
              </c:strCache>
            </c:strRef>
          </c:cat>
          <c:val>
            <c:numRef>
              <c:f>Sheet2!$B$2:$B$10</c:f>
              <c:numCache>
                <c:formatCode>General</c:formatCode>
                <c:ptCount val="8"/>
                <c:pt idx="0">
                  <c:v>40</c:v>
                </c:pt>
                <c:pt idx="1">
                  <c:v>38</c:v>
                </c:pt>
                <c:pt idx="2">
                  <c:v>36</c:v>
                </c:pt>
                <c:pt idx="3">
                  <c:v>34</c:v>
                </c:pt>
                <c:pt idx="4">
                  <c:v>13</c:v>
                </c:pt>
                <c:pt idx="5">
                  <c:v>6</c:v>
                </c:pt>
                <c:pt idx="6">
                  <c:v>5</c:v>
                </c:pt>
                <c:pt idx="7">
                  <c:v>5</c:v>
                </c:pt>
              </c:numCache>
            </c:numRef>
          </c:val>
          <c:extLst>
            <c:ext xmlns:c16="http://schemas.microsoft.com/office/drawing/2014/chart" uri="{C3380CC4-5D6E-409C-BE32-E72D297353CC}">
              <c16:uniqueId val="{00000000-31EA-4543-BB1B-27E6E0FF9F0C}"/>
            </c:ext>
          </c:extLst>
        </c:ser>
        <c:dLbls>
          <c:showLegendKey val="0"/>
          <c:showVal val="0"/>
          <c:showCatName val="0"/>
          <c:showSerName val="0"/>
          <c:showPercent val="0"/>
          <c:showBubbleSize val="0"/>
        </c:dLbls>
        <c:gapWidth val="219"/>
        <c:overlap val="-27"/>
        <c:axId val="1116606968"/>
        <c:axId val="1116611288"/>
      </c:barChart>
      <c:catAx>
        <c:axId val="111660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611288"/>
        <c:crosses val="autoZero"/>
        <c:auto val="1"/>
        <c:lblAlgn val="ctr"/>
        <c:lblOffset val="100"/>
        <c:noMultiLvlLbl val="0"/>
      </c:catAx>
      <c:valAx>
        <c:axId val="1116611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606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analysis.xlsx]Sheet2!PivotTable6</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orders hourly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73344520459531"/>
          <c:y val="0.25729928618735742"/>
          <c:w val="0.52184448818897633"/>
          <c:h val="0.6293157626130067"/>
        </c:manualLayout>
      </c:layout>
      <c:barChart>
        <c:barDir val="bar"/>
        <c:grouping val="clustered"/>
        <c:varyColors val="0"/>
        <c:ser>
          <c:idx val="0"/>
          <c:order val="0"/>
          <c:tx>
            <c:strRef>
              <c:f>Sheet2!$H$1</c:f>
              <c:strCache>
                <c:ptCount val="1"/>
                <c:pt idx="0">
                  <c:v>Total</c:v>
                </c:pt>
              </c:strCache>
            </c:strRef>
          </c:tx>
          <c:spPr>
            <a:solidFill>
              <a:schemeClr val="accent2"/>
            </a:solidFill>
            <a:ln>
              <a:noFill/>
            </a:ln>
            <a:effectLst/>
          </c:spPr>
          <c:invertIfNegative val="0"/>
          <c:cat>
            <c:strRef>
              <c:f>Sheet2!$G$2:$G$6</c:f>
              <c:strCache>
                <c:ptCount val="4"/>
                <c:pt idx="0">
                  <c:v>Morning</c:v>
                </c:pt>
                <c:pt idx="1">
                  <c:v>Afternoon</c:v>
                </c:pt>
                <c:pt idx="2">
                  <c:v>Evening</c:v>
                </c:pt>
                <c:pt idx="3">
                  <c:v>Night</c:v>
                </c:pt>
              </c:strCache>
            </c:strRef>
          </c:cat>
          <c:val>
            <c:numRef>
              <c:f>Sheet2!$H$2:$H$6</c:f>
              <c:numCache>
                <c:formatCode>General</c:formatCode>
                <c:ptCount val="4"/>
                <c:pt idx="0">
                  <c:v>93</c:v>
                </c:pt>
                <c:pt idx="1">
                  <c:v>39</c:v>
                </c:pt>
                <c:pt idx="2">
                  <c:v>28</c:v>
                </c:pt>
                <c:pt idx="3">
                  <c:v>17</c:v>
                </c:pt>
              </c:numCache>
            </c:numRef>
          </c:val>
          <c:extLst>
            <c:ext xmlns:c16="http://schemas.microsoft.com/office/drawing/2014/chart" uri="{C3380CC4-5D6E-409C-BE32-E72D297353CC}">
              <c16:uniqueId val="{00000000-580B-4EB9-BA2A-3B7FA1BCEB6A}"/>
            </c:ext>
          </c:extLst>
        </c:ser>
        <c:dLbls>
          <c:showLegendKey val="0"/>
          <c:showVal val="0"/>
          <c:showCatName val="0"/>
          <c:showSerName val="0"/>
          <c:showPercent val="0"/>
          <c:showBubbleSize val="0"/>
        </c:dLbls>
        <c:gapWidth val="182"/>
        <c:axId val="1116625688"/>
        <c:axId val="1116621728"/>
      </c:barChart>
      <c:catAx>
        <c:axId val="1116625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621728"/>
        <c:crosses val="autoZero"/>
        <c:auto val="1"/>
        <c:lblAlgn val="ctr"/>
        <c:lblOffset val="100"/>
        <c:noMultiLvlLbl val="0"/>
      </c:catAx>
      <c:valAx>
        <c:axId val="111662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625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analysis.xlsx]Sheet2!PivotTable7</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orders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7132025163523"/>
          <c:y val="0.13888938040048363"/>
          <c:w val="0.83984939813557791"/>
          <c:h val="0.72088764946048411"/>
        </c:manualLayout>
      </c:layout>
      <c:areaChart>
        <c:grouping val="standard"/>
        <c:varyColors val="0"/>
        <c:ser>
          <c:idx val="0"/>
          <c:order val="0"/>
          <c:tx>
            <c:strRef>
              <c:f>Sheet2!$B$28</c:f>
              <c:strCache>
                <c:ptCount val="1"/>
                <c:pt idx="0">
                  <c:v>Total</c:v>
                </c:pt>
              </c:strCache>
            </c:strRef>
          </c:tx>
          <c:spPr>
            <a:solidFill>
              <a:schemeClr val="accent2"/>
            </a:solidFill>
            <a:ln>
              <a:noFill/>
            </a:ln>
            <a:effectLst/>
          </c:spPr>
          <c:cat>
            <c:strRef>
              <c:f>Sheet2!$A$29:$A$35</c:f>
              <c:strCache>
                <c:ptCount val="6"/>
                <c:pt idx="0">
                  <c:v>March</c:v>
                </c:pt>
                <c:pt idx="1">
                  <c:v>April</c:v>
                </c:pt>
                <c:pt idx="2">
                  <c:v>May</c:v>
                </c:pt>
                <c:pt idx="3">
                  <c:v>June</c:v>
                </c:pt>
                <c:pt idx="4">
                  <c:v>July</c:v>
                </c:pt>
                <c:pt idx="5">
                  <c:v>August</c:v>
                </c:pt>
              </c:strCache>
            </c:strRef>
          </c:cat>
          <c:val>
            <c:numRef>
              <c:f>Sheet2!$B$29:$B$35</c:f>
              <c:numCache>
                <c:formatCode>General</c:formatCode>
                <c:ptCount val="6"/>
                <c:pt idx="0">
                  <c:v>22</c:v>
                </c:pt>
                <c:pt idx="1">
                  <c:v>35</c:v>
                </c:pt>
                <c:pt idx="2">
                  <c:v>41</c:v>
                </c:pt>
                <c:pt idx="3">
                  <c:v>29</c:v>
                </c:pt>
                <c:pt idx="4">
                  <c:v>24</c:v>
                </c:pt>
                <c:pt idx="5">
                  <c:v>26</c:v>
                </c:pt>
              </c:numCache>
            </c:numRef>
          </c:val>
          <c:extLst>
            <c:ext xmlns:c16="http://schemas.microsoft.com/office/drawing/2014/chart" uri="{C3380CC4-5D6E-409C-BE32-E72D297353CC}">
              <c16:uniqueId val="{00000000-4145-40B0-983A-C0EB58F5FD0B}"/>
            </c:ext>
          </c:extLst>
        </c:ser>
        <c:dLbls>
          <c:showLegendKey val="0"/>
          <c:showVal val="0"/>
          <c:showCatName val="0"/>
          <c:showSerName val="0"/>
          <c:showPercent val="0"/>
          <c:showBubbleSize val="0"/>
        </c:dLbls>
        <c:axId val="1116559056"/>
        <c:axId val="1116559416"/>
      </c:areaChart>
      <c:catAx>
        <c:axId val="1116559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559416"/>
        <c:crosses val="autoZero"/>
        <c:auto val="1"/>
        <c:lblAlgn val="ctr"/>
        <c:lblOffset val="100"/>
        <c:noMultiLvlLbl val="0"/>
      </c:catAx>
      <c:valAx>
        <c:axId val="1116559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559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analysis.xlsx]Sheet2!PivotTable8</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percentage</a:t>
            </a:r>
            <a:r>
              <a:rPr lang="en-US" baseline="0">
                <a:solidFill>
                  <a:schemeClr val="tx1"/>
                </a:solidFill>
              </a:rPr>
              <a:t> by payment method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hade val="76000"/>
            </a:schemeClr>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76000"/>
            </a:schemeClr>
          </a:solidFill>
          <a:ln w="19050">
            <a:solidFill>
              <a:schemeClr val="lt1"/>
            </a:solidFill>
          </a:ln>
          <a:effectLst/>
        </c:spPr>
        <c:dLbl>
          <c:idx val="0"/>
          <c:layout>
            <c:manualLayout>
              <c:x val="0.15322580645161291"/>
              <c:y val="6.60066349661573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tint val="77000"/>
            </a:schemeClr>
          </a:solidFill>
          <a:ln w="19050">
            <a:solidFill>
              <a:schemeClr val="lt1"/>
            </a:solidFill>
          </a:ln>
          <a:effectLst/>
        </c:spPr>
        <c:dLbl>
          <c:idx val="0"/>
          <c:layout>
            <c:manualLayout>
              <c:x val="-0.12903225806451618"/>
              <c:y val="-7.9207961959388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Sheet2!$I$28</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8AF8-427E-A6B4-34D8671BCCC9}"/>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8AF8-427E-A6B4-34D8671BCCC9}"/>
              </c:ext>
            </c:extLst>
          </c:dPt>
          <c:dLbls>
            <c:dLbl>
              <c:idx val="0"/>
              <c:layout>
                <c:manualLayout>
                  <c:x val="0.15322580645161291"/>
                  <c:y val="6.600663496615730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F8-427E-A6B4-34D8671BCCC9}"/>
                </c:ext>
              </c:extLst>
            </c:dLbl>
            <c:dLbl>
              <c:idx val="1"/>
              <c:layout>
                <c:manualLayout>
                  <c:x val="-0.12903225806451618"/>
                  <c:y val="-7.9207961959388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F8-427E-A6B4-34D8671BCC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Sheet2!$H$29:$H$31</c:f>
              <c:strCache>
                <c:ptCount val="2"/>
                <c:pt idx="0">
                  <c:v>card</c:v>
                </c:pt>
                <c:pt idx="1">
                  <c:v>cash</c:v>
                </c:pt>
              </c:strCache>
            </c:strRef>
          </c:cat>
          <c:val>
            <c:numRef>
              <c:f>Sheet2!$I$29:$I$31</c:f>
              <c:numCache>
                <c:formatCode>0.00%</c:formatCode>
                <c:ptCount val="2"/>
                <c:pt idx="0">
                  <c:v>0.903954802259887</c:v>
                </c:pt>
                <c:pt idx="1">
                  <c:v>9.6045197740112997E-2</c:v>
                </c:pt>
              </c:numCache>
            </c:numRef>
          </c:val>
          <c:extLst>
            <c:ext xmlns:c16="http://schemas.microsoft.com/office/drawing/2014/chart" uri="{C3380CC4-5D6E-409C-BE32-E72D297353CC}">
              <c16:uniqueId val="{00000004-8AF8-427E-A6B4-34D8671BCC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analysis.xlsx]Sheet5!PivotTable3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orders daily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Sheet5!$O$1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Sheet5!$N$2:$N$3</c:f>
              <c:strCache>
                <c:ptCount val="1"/>
                <c:pt idx="0">
                  <c:v>Monday</c:v>
                </c:pt>
              </c:strCache>
            </c:strRef>
          </c:cat>
          <c:val>
            <c:numRef>
              <c:f>Sheet5!$O$2:$O$3</c:f>
              <c:numCache>
                <c:formatCode>General</c:formatCode>
                <c:ptCount val="1"/>
                <c:pt idx="0">
                  <c:v>177</c:v>
                </c:pt>
              </c:numCache>
            </c:numRef>
          </c:val>
          <c:smooth val="0"/>
          <c:extLst>
            <c:ext xmlns:c16="http://schemas.microsoft.com/office/drawing/2014/chart" uri="{C3380CC4-5D6E-409C-BE32-E72D297353CC}">
              <c16:uniqueId val="{00000000-F9E4-481A-9C13-3460A6CD0D0C}"/>
            </c:ext>
          </c:extLst>
        </c:ser>
        <c:dLbls>
          <c:showLegendKey val="0"/>
          <c:showVal val="0"/>
          <c:showCatName val="0"/>
          <c:showSerName val="0"/>
          <c:showPercent val="0"/>
          <c:showBubbleSize val="0"/>
        </c:dLbls>
        <c:marker val="1"/>
        <c:smooth val="0"/>
        <c:axId val="1079422672"/>
        <c:axId val="1079421232"/>
      </c:lineChart>
      <c:catAx>
        <c:axId val="10794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9421232"/>
        <c:crosses val="autoZero"/>
        <c:auto val="1"/>
        <c:lblAlgn val="ctr"/>
        <c:lblOffset val="100"/>
        <c:noMultiLvlLbl val="0"/>
      </c:catAx>
      <c:valAx>
        <c:axId val="107942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942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Sheet5!$I$1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Sheet5!$H$2:$H$9</c:f>
              <c:strCache>
                <c:ptCount val="7"/>
                <c:pt idx="0">
                  <c:v>Sunday</c:v>
                </c:pt>
                <c:pt idx="1">
                  <c:v>Monday</c:v>
                </c:pt>
                <c:pt idx="2">
                  <c:v>Tuesday</c:v>
                </c:pt>
                <c:pt idx="3">
                  <c:v>Wednesday</c:v>
                </c:pt>
                <c:pt idx="4">
                  <c:v>Thursday</c:v>
                </c:pt>
                <c:pt idx="5">
                  <c:v>Friday</c:v>
                </c:pt>
                <c:pt idx="6">
                  <c:v>Saturday</c:v>
                </c:pt>
              </c:strCache>
            </c:strRef>
          </c:cat>
          <c:val>
            <c:numRef>
              <c:f>Sheet5!$I$2:$I$9</c:f>
              <c:numCache>
                <c:formatCode>General</c:formatCode>
                <c:ptCount val="7"/>
                <c:pt idx="0">
                  <c:v>5680.62</c:v>
                </c:pt>
                <c:pt idx="1">
                  <c:v>5739.7</c:v>
                </c:pt>
                <c:pt idx="2">
                  <c:v>6722.9000000000015</c:v>
                </c:pt>
                <c:pt idx="3">
                  <c:v>5954.6600000000008</c:v>
                </c:pt>
                <c:pt idx="4">
                  <c:v>6457.16</c:v>
                </c:pt>
                <c:pt idx="5">
                  <c:v>5864.380000000001</c:v>
                </c:pt>
                <c:pt idx="6">
                  <c:v>6208.1600000000026</c:v>
                </c:pt>
              </c:numCache>
            </c:numRef>
          </c:val>
          <c:smooth val="0"/>
          <c:extLst>
            <c:ext xmlns:c16="http://schemas.microsoft.com/office/drawing/2014/chart" uri="{C3380CC4-5D6E-409C-BE32-E72D297353CC}">
              <c16:uniqueId val="{00000000-E6B9-4BE6-AD83-0A63C1638C97}"/>
            </c:ext>
          </c:extLst>
        </c:ser>
        <c:dLbls>
          <c:showLegendKey val="0"/>
          <c:showVal val="0"/>
          <c:showCatName val="0"/>
          <c:showSerName val="0"/>
          <c:showPercent val="0"/>
          <c:showBubbleSize val="0"/>
        </c:dLbls>
        <c:marker val="1"/>
        <c:smooth val="0"/>
        <c:axId val="729813992"/>
        <c:axId val="729812192"/>
      </c:lineChart>
      <c:catAx>
        <c:axId val="72981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812192"/>
        <c:crosses val="autoZero"/>
        <c:auto val="1"/>
        <c:lblAlgn val="ctr"/>
        <c:lblOffset val="100"/>
        <c:noMultiLvlLbl val="0"/>
      </c:catAx>
      <c:valAx>
        <c:axId val="72981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813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projec analysis.xlsx]Sheet5!PivotTable3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Sheet5!$O$1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Sheet5!$N$2:$N$3</c:f>
              <c:strCache>
                <c:ptCount val="1"/>
                <c:pt idx="0">
                  <c:v>Monday</c:v>
                </c:pt>
              </c:strCache>
            </c:strRef>
          </c:cat>
          <c:val>
            <c:numRef>
              <c:f>Sheet5!$O$2:$O$3</c:f>
              <c:numCache>
                <c:formatCode>General</c:formatCode>
                <c:ptCount val="1"/>
                <c:pt idx="0">
                  <c:v>177</c:v>
                </c:pt>
              </c:numCache>
            </c:numRef>
          </c:val>
          <c:smooth val="0"/>
          <c:extLst>
            <c:ext xmlns:c16="http://schemas.microsoft.com/office/drawing/2014/chart" uri="{C3380CC4-5D6E-409C-BE32-E72D297353CC}">
              <c16:uniqueId val="{00000000-E173-401D-A269-CC02512A79E4}"/>
            </c:ext>
          </c:extLst>
        </c:ser>
        <c:dLbls>
          <c:showLegendKey val="0"/>
          <c:showVal val="0"/>
          <c:showCatName val="0"/>
          <c:showSerName val="0"/>
          <c:showPercent val="0"/>
          <c:showBubbleSize val="0"/>
        </c:dLbls>
        <c:marker val="1"/>
        <c:smooth val="0"/>
        <c:axId val="1079422672"/>
        <c:axId val="1079421232"/>
      </c:lineChart>
      <c:catAx>
        <c:axId val="10794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421232"/>
        <c:crosses val="autoZero"/>
        <c:auto val="1"/>
        <c:lblAlgn val="ctr"/>
        <c:lblOffset val="100"/>
        <c:noMultiLvlLbl val="0"/>
      </c:catAx>
      <c:valAx>
        <c:axId val="107942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42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hyperlink" Target="#Sheet4!A1"/><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hyperlink" Target="#Sheet3!A1"/><Relationship Id="rId5" Type="http://schemas.openxmlformats.org/officeDocument/2006/relationships/chart" Target="../charts/chart18.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10</xdr:col>
      <xdr:colOff>142875</xdr:colOff>
      <xdr:row>24</xdr:row>
      <xdr:rowOff>76200</xdr:rowOff>
    </xdr:from>
    <xdr:to>
      <xdr:col>17</xdr:col>
      <xdr:colOff>447675</xdr:colOff>
      <xdr:row>38</xdr:row>
      <xdr:rowOff>152400</xdr:rowOff>
    </xdr:to>
    <xdr:graphicFrame macro="">
      <xdr:nvGraphicFramePr>
        <xdr:cNvPr id="2" name="Chart 1">
          <a:extLst>
            <a:ext uri="{FF2B5EF4-FFF2-40B4-BE49-F238E27FC236}">
              <a16:creationId xmlns:a16="http://schemas.microsoft.com/office/drawing/2014/main" id="{0865CDE7-AC14-546E-0C80-F0F081CA2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685800</xdr:colOff>
      <xdr:row>24</xdr:row>
      <xdr:rowOff>161925</xdr:rowOff>
    </xdr:from>
    <xdr:to>
      <xdr:col>15</xdr:col>
      <xdr:colOff>38100</xdr:colOff>
      <xdr:row>39</xdr:row>
      <xdr:rowOff>47625</xdr:rowOff>
    </xdr:to>
    <xdr:graphicFrame macro="">
      <xdr:nvGraphicFramePr>
        <xdr:cNvPr id="3" name="Chart 2">
          <a:extLst>
            <a:ext uri="{FF2B5EF4-FFF2-40B4-BE49-F238E27FC236}">
              <a16:creationId xmlns:a16="http://schemas.microsoft.com/office/drawing/2014/main" id="{A3E72F24-21CF-3F97-5C48-CE22BDAC7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xdr:colOff>
      <xdr:row>27</xdr:row>
      <xdr:rowOff>66675</xdr:rowOff>
    </xdr:from>
    <xdr:to>
      <xdr:col>8</xdr:col>
      <xdr:colOff>447675</xdr:colOff>
      <xdr:row>41</xdr:row>
      <xdr:rowOff>142875</xdr:rowOff>
    </xdr:to>
    <xdr:graphicFrame macro="">
      <xdr:nvGraphicFramePr>
        <xdr:cNvPr id="4" name="Chart 3">
          <a:extLst>
            <a:ext uri="{FF2B5EF4-FFF2-40B4-BE49-F238E27FC236}">
              <a16:creationId xmlns:a16="http://schemas.microsoft.com/office/drawing/2014/main" id="{30BE63D2-D581-237E-6BA9-32D71BD7E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47625</xdr:colOff>
      <xdr:row>19</xdr:row>
      <xdr:rowOff>28575</xdr:rowOff>
    </xdr:from>
    <xdr:to>
      <xdr:col>21</xdr:col>
      <xdr:colOff>352425</xdr:colOff>
      <xdr:row>33</xdr:row>
      <xdr:rowOff>104775</xdr:rowOff>
    </xdr:to>
    <xdr:graphicFrame macro="">
      <xdr:nvGraphicFramePr>
        <xdr:cNvPr id="5" name="Chart 4">
          <a:extLst>
            <a:ext uri="{FF2B5EF4-FFF2-40B4-BE49-F238E27FC236}">
              <a16:creationId xmlns:a16="http://schemas.microsoft.com/office/drawing/2014/main" id="{C7A9231D-2080-99A7-DFB7-6090FC0DD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523874</xdr:colOff>
      <xdr:row>24</xdr:row>
      <xdr:rowOff>85724</xdr:rowOff>
    </xdr:from>
    <xdr:to>
      <xdr:col>19</xdr:col>
      <xdr:colOff>285749</xdr:colOff>
      <xdr:row>27</xdr:row>
      <xdr:rowOff>142875</xdr:rowOff>
    </xdr:to>
    <mc:AlternateContent xmlns:mc="http://schemas.openxmlformats.org/markup-compatibility/2006" xmlns:a14="http://schemas.microsoft.com/office/drawing/2010/main">
      <mc:Choice Requires="a14">
        <xdr:graphicFrame macro="">
          <xdr:nvGraphicFramePr>
            <xdr:cNvPr id="6" name="Day Of Week">
              <a:extLst>
                <a:ext uri="{FF2B5EF4-FFF2-40B4-BE49-F238E27FC236}">
                  <a16:creationId xmlns:a16="http://schemas.microsoft.com/office/drawing/2014/main" id="{43A0F3CC-8D96-ECF1-3D52-BFE22DF94A3E}"/>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6696074" y="4657724"/>
              <a:ext cx="5857875" cy="628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28575</xdr:rowOff>
    </xdr:from>
    <xdr:to>
      <xdr:col>6</xdr:col>
      <xdr:colOff>361950</xdr:colOff>
      <xdr:row>24</xdr:row>
      <xdr:rowOff>104775</xdr:rowOff>
    </xdr:to>
    <xdr:graphicFrame macro="">
      <xdr:nvGraphicFramePr>
        <xdr:cNvPr id="2" name="Chart 1">
          <a:extLst>
            <a:ext uri="{FF2B5EF4-FFF2-40B4-BE49-F238E27FC236}">
              <a16:creationId xmlns:a16="http://schemas.microsoft.com/office/drawing/2014/main" id="{DA189828-37DE-639F-4D53-F1259FD45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304800</xdr:colOff>
      <xdr:row>6</xdr:row>
      <xdr:rowOff>171450</xdr:rowOff>
    </xdr:from>
    <xdr:to>
      <xdr:col>22</xdr:col>
      <xdr:colOff>76200</xdr:colOff>
      <xdr:row>21</xdr:row>
      <xdr:rowOff>57150</xdr:rowOff>
    </xdr:to>
    <xdr:graphicFrame macro="">
      <xdr:nvGraphicFramePr>
        <xdr:cNvPr id="3" name="Chart 2">
          <a:extLst>
            <a:ext uri="{FF2B5EF4-FFF2-40B4-BE49-F238E27FC236}">
              <a16:creationId xmlns:a16="http://schemas.microsoft.com/office/drawing/2014/main" id="{BFA66294-C238-8973-4A85-49BDA32F6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219075</xdr:colOff>
      <xdr:row>43</xdr:row>
      <xdr:rowOff>47625</xdr:rowOff>
    </xdr:from>
    <xdr:to>
      <xdr:col>18</xdr:col>
      <xdr:colOff>95250</xdr:colOff>
      <xdr:row>57</xdr:row>
      <xdr:rowOff>123825</xdr:rowOff>
    </xdr:to>
    <xdr:graphicFrame macro="">
      <xdr:nvGraphicFramePr>
        <xdr:cNvPr id="4" name="Chart 3">
          <a:extLst>
            <a:ext uri="{FF2B5EF4-FFF2-40B4-BE49-F238E27FC236}">
              <a16:creationId xmlns:a16="http://schemas.microsoft.com/office/drawing/2014/main" id="{2FCDB614-00B3-8076-2C61-120FFBEBF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390525</xdr:colOff>
      <xdr:row>27</xdr:row>
      <xdr:rowOff>85725</xdr:rowOff>
    </xdr:from>
    <xdr:to>
      <xdr:col>20</xdr:col>
      <xdr:colOff>85725</xdr:colOff>
      <xdr:row>41</xdr:row>
      <xdr:rowOff>161925</xdr:rowOff>
    </xdr:to>
    <xdr:graphicFrame macro="">
      <xdr:nvGraphicFramePr>
        <xdr:cNvPr id="5" name="Chart 4">
          <a:extLst>
            <a:ext uri="{FF2B5EF4-FFF2-40B4-BE49-F238E27FC236}">
              <a16:creationId xmlns:a16="http://schemas.microsoft.com/office/drawing/2014/main" id="{ED1FBCB9-EF60-CB16-1C36-4F6F9B9F1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66675</xdr:colOff>
      <xdr:row>23</xdr:row>
      <xdr:rowOff>123825</xdr:rowOff>
    </xdr:from>
    <xdr:to>
      <xdr:col>20</xdr:col>
      <xdr:colOff>371475</xdr:colOff>
      <xdr:row>27</xdr:row>
      <xdr:rowOff>66674</xdr:rowOff>
    </xdr:to>
    <mc:AlternateContent xmlns:mc="http://schemas.openxmlformats.org/markup-compatibility/2006" xmlns:a14="http://schemas.microsoft.com/office/drawing/2010/main">
      <mc:Choice Requires="a14">
        <xdr:graphicFrame macro="">
          <xdr:nvGraphicFramePr>
            <xdr:cNvPr id="6" name="Day Of Week 2">
              <a:extLst>
                <a:ext uri="{FF2B5EF4-FFF2-40B4-BE49-F238E27FC236}">
                  <a16:creationId xmlns:a16="http://schemas.microsoft.com/office/drawing/2014/main" id="{4B0E2D71-5477-E00C-F18C-31E820FD1DD0}"/>
                </a:ext>
              </a:extLst>
            </xdr:cNvPr>
            <xdr:cNvGraphicFramePr/>
          </xdr:nvGraphicFramePr>
          <xdr:xfrm>
            <a:off x="0" y="0"/>
            <a:ext cx="0" cy="0"/>
          </xdr:xfrm>
          <a:graphic>
            <a:graphicData uri="http://schemas.microsoft.com/office/drawing/2010/slicer">
              <sle:slicer xmlns:sle="http://schemas.microsoft.com/office/drawing/2010/slicer" name="Day Of Week 2"/>
            </a:graphicData>
          </a:graphic>
        </xdr:graphicFrame>
      </mc:Choice>
      <mc:Fallback xmlns="">
        <xdr:sp macro="" textlink="">
          <xdr:nvSpPr>
            <xdr:cNvPr id="0" name=""/>
            <xdr:cNvSpPr>
              <a:spLocks noTextEdit="1"/>
            </xdr:cNvSpPr>
          </xdr:nvSpPr>
          <xdr:spPr>
            <a:xfrm>
              <a:off x="7972425" y="4505325"/>
              <a:ext cx="5181600"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266701</xdr:colOff>
      <xdr:row>3</xdr:row>
      <xdr:rowOff>104774</xdr:rowOff>
    </xdr:to>
    <xdr:sp macro="" textlink="">
      <xdr:nvSpPr>
        <xdr:cNvPr id="2" name="Rectangle: Rounded Corners 1">
          <a:extLst>
            <a:ext uri="{FF2B5EF4-FFF2-40B4-BE49-F238E27FC236}">
              <a16:creationId xmlns:a16="http://schemas.microsoft.com/office/drawing/2014/main" id="{546E3528-AFEA-145B-3CAA-879BC4716791}"/>
            </a:ext>
          </a:extLst>
        </xdr:cNvPr>
        <xdr:cNvSpPr/>
      </xdr:nvSpPr>
      <xdr:spPr>
        <a:xfrm>
          <a:off x="0" y="0"/>
          <a:ext cx="12458701" cy="676274"/>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en-US" sz="2800" b="1">
              <a:solidFill>
                <a:schemeClr val="accent2">
                  <a:lumMod val="75000"/>
                </a:schemeClr>
              </a:solidFill>
            </a:rPr>
            <a:t>Coffee shop analysis</a:t>
          </a:r>
        </a:p>
      </xdr:txBody>
    </xdr:sp>
    <xdr:clientData/>
  </xdr:twoCellAnchor>
  <xdr:twoCellAnchor>
    <xdr:from>
      <xdr:col>12</xdr:col>
      <xdr:colOff>447675</xdr:colOff>
      <xdr:row>3</xdr:row>
      <xdr:rowOff>171450</xdr:rowOff>
    </xdr:from>
    <xdr:to>
      <xdr:col>20</xdr:col>
      <xdr:colOff>219075</xdr:colOff>
      <xdr:row>16</xdr:row>
      <xdr:rowOff>76200</xdr:rowOff>
    </xdr:to>
    <xdr:graphicFrame macro="">
      <xdr:nvGraphicFramePr>
        <xdr:cNvPr id="3" name="Chart 2">
          <a:extLst>
            <a:ext uri="{FF2B5EF4-FFF2-40B4-BE49-F238E27FC236}">
              <a16:creationId xmlns:a16="http://schemas.microsoft.com/office/drawing/2014/main" id="{93EACC01-CAF3-4212-863E-DF3F6A2B8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466726</xdr:colOff>
      <xdr:row>17</xdr:row>
      <xdr:rowOff>9525</xdr:rowOff>
    </xdr:from>
    <xdr:to>
      <xdr:col>20</xdr:col>
      <xdr:colOff>257176</xdr:colOff>
      <xdr:row>26</xdr:row>
      <xdr:rowOff>180975</xdr:rowOff>
    </xdr:to>
    <xdr:graphicFrame macro="">
      <xdr:nvGraphicFramePr>
        <xdr:cNvPr id="4" name="Chart 3">
          <a:extLst>
            <a:ext uri="{FF2B5EF4-FFF2-40B4-BE49-F238E27FC236}">
              <a16:creationId xmlns:a16="http://schemas.microsoft.com/office/drawing/2014/main" id="{D98E8785-8DD9-408B-8727-26159EF6A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xdr:row>
      <xdr:rowOff>161925</xdr:rowOff>
    </xdr:from>
    <xdr:to>
      <xdr:col>12</xdr:col>
      <xdr:colOff>304800</xdr:colOff>
      <xdr:row>12</xdr:row>
      <xdr:rowOff>0</xdr:rowOff>
    </xdr:to>
    <xdr:graphicFrame macro="">
      <xdr:nvGraphicFramePr>
        <xdr:cNvPr id="5" name="Chart 4">
          <a:extLst>
            <a:ext uri="{FF2B5EF4-FFF2-40B4-BE49-F238E27FC236}">
              <a16:creationId xmlns:a16="http://schemas.microsoft.com/office/drawing/2014/main" id="{672ECC6D-EA48-4CE1-AA34-18D66DF47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581025</xdr:colOff>
      <xdr:row>21</xdr:row>
      <xdr:rowOff>19050</xdr:rowOff>
    </xdr:from>
    <xdr:to>
      <xdr:col>12</xdr:col>
      <xdr:colOff>333375</xdr:colOff>
      <xdr:row>26</xdr:row>
      <xdr:rowOff>180975</xdr:rowOff>
    </xdr:to>
    <xdr:graphicFrame macro="">
      <xdr:nvGraphicFramePr>
        <xdr:cNvPr id="6" name="Chart 5">
          <a:extLst>
            <a:ext uri="{FF2B5EF4-FFF2-40B4-BE49-F238E27FC236}">
              <a16:creationId xmlns:a16="http://schemas.microsoft.com/office/drawing/2014/main" id="{CDDC4D22-B16F-446C-8115-C926A1A69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66676</xdr:colOff>
      <xdr:row>4</xdr:row>
      <xdr:rowOff>47624</xdr:rowOff>
    </xdr:from>
    <xdr:to>
      <xdr:col>4</xdr:col>
      <xdr:colOff>438150</xdr:colOff>
      <xdr:row>10</xdr:row>
      <xdr:rowOff>114299</xdr:rowOff>
    </xdr:to>
    <xdr:sp macro="" textlink="">
      <xdr:nvSpPr>
        <xdr:cNvPr id="7" name="Rectangle: Rounded Corners 6">
          <a:extLst>
            <a:ext uri="{FF2B5EF4-FFF2-40B4-BE49-F238E27FC236}">
              <a16:creationId xmlns:a16="http://schemas.microsoft.com/office/drawing/2014/main" id="{6BDE578F-D70A-C141-76E6-4608E2B5A5FD}"/>
            </a:ext>
          </a:extLst>
        </xdr:cNvPr>
        <xdr:cNvSpPr/>
      </xdr:nvSpPr>
      <xdr:spPr>
        <a:xfrm>
          <a:off x="66676" y="809624"/>
          <a:ext cx="2809874" cy="120967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2400" b="1">
              <a:solidFill>
                <a:schemeClr val="accent2">
                  <a:lumMod val="75000"/>
                </a:schemeClr>
              </a:solidFill>
            </a:rPr>
            <a:t>Total Sales</a:t>
          </a:r>
        </a:p>
      </xdr:txBody>
    </xdr:sp>
    <xdr:clientData/>
  </xdr:twoCellAnchor>
  <xdr:twoCellAnchor>
    <xdr:from>
      <xdr:col>0</xdr:col>
      <xdr:colOff>57150</xdr:colOff>
      <xdr:row>11</xdr:row>
      <xdr:rowOff>133350</xdr:rowOff>
    </xdr:from>
    <xdr:to>
      <xdr:col>4</xdr:col>
      <xdr:colOff>428624</xdr:colOff>
      <xdr:row>18</xdr:row>
      <xdr:rowOff>152400</xdr:rowOff>
    </xdr:to>
    <xdr:sp macro="" textlink="">
      <xdr:nvSpPr>
        <xdr:cNvPr id="8" name="Rectangle: Rounded Corners 7">
          <a:extLst>
            <a:ext uri="{FF2B5EF4-FFF2-40B4-BE49-F238E27FC236}">
              <a16:creationId xmlns:a16="http://schemas.microsoft.com/office/drawing/2014/main" id="{3D0A5041-F4CC-459D-AE34-36405C882737}"/>
            </a:ext>
          </a:extLst>
        </xdr:cNvPr>
        <xdr:cNvSpPr/>
      </xdr:nvSpPr>
      <xdr:spPr>
        <a:xfrm>
          <a:off x="57150" y="2228850"/>
          <a:ext cx="2809874" cy="13525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2400" b="1">
              <a:solidFill>
                <a:schemeClr val="accent2">
                  <a:lumMod val="75000"/>
                </a:schemeClr>
              </a:solidFill>
            </a:rPr>
            <a:t>Items of coffee</a:t>
          </a:r>
        </a:p>
      </xdr:txBody>
    </xdr:sp>
    <xdr:clientData/>
  </xdr:twoCellAnchor>
  <xdr:twoCellAnchor>
    <xdr:from>
      <xdr:col>0</xdr:col>
      <xdr:colOff>85725</xdr:colOff>
      <xdr:row>19</xdr:row>
      <xdr:rowOff>171450</xdr:rowOff>
    </xdr:from>
    <xdr:to>
      <xdr:col>4</xdr:col>
      <xdr:colOff>457199</xdr:colOff>
      <xdr:row>27</xdr:row>
      <xdr:rowOff>0</xdr:rowOff>
    </xdr:to>
    <xdr:sp macro="" textlink="">
      <xdr:nvSpPr>
        <xdr:cNvPr id="9" name="Rectangle: Rounded Corners 8">
          <a:extLst>
            <a:ext uri="{FF2B5EF4-FFF2-40B4-BE49-F238E27FC236}">
              <a16:creationId xmlns:a16="http://schemas.microsoft.com/office/drawing/2014/main" id="{698F80A4-D3DA-4790-A560-5295E810440A}"/>
            </a:ext>
          </a:extLst>
        </xdr:cNvPr>
        <xdr:cNvSpPr/>
      </xdr:nvSpPr>
      <xdr:spPr>
        <a:xfrm>
          <a:off x="85725" y="3790950"/>
          <a:ext cx="2809874" cy="13525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2400" b="1">
              <a:solidFill>
                <a:schemeClr val="accent2">
                  <a:lumMod val="75000"/>
                </a:schemeClr>
              </a:solidFill>
            </a:rPr>
            <a:t>Orders</a:t>
          </a:r>
        </a:p>
      </xdr:txBody>
    </xdr:sp>
    <xdr:clientData/>
  </xdr:twoCellAnchor>
  <xdr:twoCellAnchor>
    <xdr:from>
      <xdr:col>1</xdr:col>
      <xdr:colOff>219075</xdr:colOff>
      <xdr:row>6</xdr:row>
      <xdr:rowOff>76201</xdr:rowOff>
    </xdr:from>
    <xdr:to>
      <xdr:col>3</xdr:col>
      <xdr:colOff>257175</xdr:colOff>
      <xdr:row>8</xdr:row>
      <xdr:rowOff>180975</xdr:rowOff>
    </xdr:to>
    <xdr:sp macro="" textlink="Sheet5!B9">
      <xdr:nvSpPr>
        <xdr:cNvPr id="10" name="TextBox 9">
          <a:extLst>
            <a:ext uri="{FF2B5EF4-FFF2-40B4-BE49-F238E27FC236}">
              <a16:creationId xmlns:a16="http://schemas.microsoft.com/office/drawing/2014/main" id="{190D9F3A-8F4A-F15B-16FD-B21B68A72173}"/>
            </a:ext>
          </a:extLst>
        </xdr:cNvPr>
        <xdr:cNvSpPr txBox="1"/>
      </xdr:nvSpPr>
      <xdr:spPr>
        <a:xfrm>
          <a:off x="828675" y="1219201"/>
          <a:ext cx="1257300" cy="485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8BE62B-04B0-4EC9-B964-708E3E38E62D}" type="TxLink">
            <a:rPr lang="en-US" sz="2000" b="1" i="0" u="none" strike="noStrike">
              <a:solidFill>
                <a:srgbClr val="000000"/>
              </a:solidFill>
              <a:latin typeface="Calibri"/>
              <a:cs typeface="Calibri"/>
            </a:rPr>
            <a:pPr algn="ctr"/>
            <a:t>42627.58</a:t>
          </a:fld>
          <a:endParaRPr lang="en-US" sz="2000" b="1"/>
        </a:p>
      </xdr:txBody>
    </xdr:sp>
    <xdr:clientData/>
  </xdr:twoCellAnchor>
  <xdr:twoCellAnchor>
    <xdr:from>
      <xdr:col>1</xdr:col>
      <xdr:colOff>295275</xdr:colOff>
      <xdr:row>14</xdr:row>
      <xdr:rowOff>142875</xdr:rowOff>
    </xdr:from>
    <xdr:to>
      <xdr:col>3</xdr:col>
      <xdr:colOff>76200</xdr:colOff>
      <xdr:row>17</xdr:row>
      <xdr:rowOff>9525</xdr:rowOff>
    </xdr:to>
    <xdr:sp macro="" textlink="Sheet5!J42">
      <xdr:nvSpPr>
        <xdr:cNvPr id="11" name="TextBox 10">
          <a:extLst>
            <a:ext uri="{FF2B5EF4-FFF2-40B4-BE49-F238E27FC236}">
              <a16:creationId xmlns:a16="http://schemas.microsoft.com/office/drawing/2014/main" id="{6EC16411-D0FE-47A6-B29F-EA22E551E365}"/>
            </a:ext>
          </a:extLst>
        </xdr:cNvPr>
        <xdr:cNvSpPr txBox="1"/>
      </xdr:nvSpPr>
      <xdr:spPr>
        <a:xfrm>
          <a:off x="904875" y="2809875"/>
          <a:ext cx="10001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F61FC-8051-4304-BB31-128392558B8B}" type="TxLink">
            <a:rPr lang="en-US" sz="2400" b="1" i="0" u="none" strike="noStrike">
              <a:solidFill>
                <a:srgbClr val="000000"/>
              </a:solidFill>
              <a:latin typeface="Calibri"/>
              <a:cs typeface="Calibri"/>
            </a:rPr>
            <a:pPr algn="ctr"/>
            <a:t>8</a:t>
          </a:fld>
          <a:endParaRPr lang="en-US" sz="2400" b="1"/>
        </a:p>
      </xdr:txBody>
    </xdr:sp>
    <xdr:clientData/>
  </xdr:twoCellAnchor>
  <xdr:twoCellAnchor>
    <xdr:from>
      <xdr:col>1</xdr:col>
      <xdr:colOff>371475</xdr:colOff>
      <xdr:row>23</xdr:row>
      <xdr:rowOff>57150</xdr:rowOff>
    </xdr:from>
    <xdr:to>
      <xdr:col>3</xdr:col>
      <xdr:colOff>152400</xdr:colOff>
      <xdr:row>25</xdr:row>
      <xdr:rowOff>114300</xdr:rowOff>
    </xdr:to>
    <xdr:sp macro="" textlink="Sheet5!B20">
      <xdr:nvSpPr>
        <xdr:cNvPr id="12" name="TextBox 11">
          <a:extLst>
            <a:ext uri="{FF2B5EF4-FFF2-40B4-BE49-F238E27FC236}">
              <a16:creationId xmlns:a16="http://schemas.microsoft.com/office/drawing/2014/main" id="{50A871DB-91B0-412C-AE5B-55980E1B51A4}"/>
            </a:ext>
          </a:extLst>
        </xdr:cNvPr>
        <xdr:cNvSpPr txBox="1"/>
      </xdr:nvSpPr>
      <xdr:spPr>
        <a:xfrm>
          <a:off x="981075" y="4438650"/>
          <a:ext cx="10001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A3A894-0DD4-4C3A-8B64-E2BAF90E940E}" type="TxLink">
            <a:rPr lang="en-US" sz="2400" b="1" i="0" u="none" strike="noStrike">
              <a:solidFill>
                <a:srgbClr val="000000"/>
              </a:solidFill>
              <a:latin typeface="Calibri"/>
              <a:cs typeface="Calibri"/>
            </a:rPr>
            <a:pPr algn="ctr"/>
            <a:t>1313</a:t>
          </a:fld>
          <a:endParaRPr lang="en-US" sz="2400" b="1"/>
        </a:p>
      </xdr:txBody>
    </xdr:sp>
    <xdr:clientData/>
  </xdr:twoCellAnchor>
  <xdr:twoCellAnchor>
    <xdr:from>
      <xdr:col>18</xdr:col>
      <xdr:colOff>476250</xdr:colOff>
      <xdr:row>0</xdr:row>
      <xdr:rowOff>9525</xdr:rowOff>
    </xdr:from>
    <xdr:to>
      <xdr:col>20</xdr:col>
      <xdr:colOff>171450</xdr:colOff>
      <xdr:row>3</xdr:row>
      <xdr:rowOff>0</xdr:rowOff>
    </xdr:to>
    <xdr:sp macro="" textlink="">
      <xdr:nvSpPr>
        <xdr:cNvPr id="13" name="Arrow: Right 12">
          <a:hlinkClick xmlns:r="http://schemas.openxmlformats.org/officeDocument/2006/relationships" r:id="rId5"/>
          <a:extLst>
            <a:ext uri="{FF2B5EF4-FFF2-40B4-BE49-F238E27FC236}">
              <a16:creationId xmlns:a16="http://schemas.microsoft.com/office/drawing/2014/main" id="{B99E6757-CEA1-8958-C413-D3B9C609EB2F}"/>
            </a:ext>
          </a:extLst>
        </xdr:cNvPr>
        <xdr:cNvSpPr/>
      </xdr:nvSpPr>
      <xdr:spPr>
        <a:xfrm>
          <a:off x="11449050" y="9525"/>
          <a:ext cx="914400" cy="561975"/>
        </a:xfrm>
        <a:prstGeom prst="righ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1200" b="1"/>
            <a:t>Orders</a:t>
          </a:r>
        </a:p>
      </xdr:txBody>
    </xdr:sp>
    <xdr:clientData/>
  </xdr:twoCellAnchor>
  <xdr:twoCellAnchor>
    <xdr:from>
      <xdr:col>4</xdr:col>
      <xdr:colOff>600074</xdr:colOff>
      <xdr:row>12</xdr:row>
      <xdr:rowOff>104775</xdr:rowOff>
    </xdr:from>
    <xdr:to>
      <xdr:col>12</xdr:col>
      <xdr:colOff>333375</xdr:colOff>
      <xdr:row>20</xdr:row>
      <xdr:rowOff>85725</xdr:rowOff>
    </xdr:to>
    <xdr:graphicFrame macro="">
      <xdr:nvGraphicFramePr>
        <xdr:cNvPr id="15" name="Chart 14">
          <a:extLst>
            <a:ext uri="{FF2B5EF4-FFF2-40B4-BE49-F238E27FC236}">
              <a16:creationId xmlns:a16="http://schemas.microsoft.com/office/drawing/2014/main" id="{DF219388-D17A-4A63-944C-57ECA1E47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371475</xdr:colOff>
      <xdr:row>0</xdr:row>
      <xdr:rowOff>66675</xdr:rowOff>
    </xdr:from>
    <xdr:to>
      <xdr:col>18</xdr:col>
      <xdr:colOff>158115</xdr:colOff>
      <xdr:row>3</xdr:row>
      <xdr:rowOff>57150</xdr:rowOff>
    </xdr:to>
    <mc:AlternateContent xmlns:mc="http://schemas.openxmlformats.org/markup-compatibility/2006" xmlns:a14="http://schemas.microsoft.com/office/drawing/2010/main">
      <mc:Choice Requires="a14">
        <xdr:graphicFrame macro="">
          <xdr:nvGraphicFramePr>
            <xdr:cNvPr id="16" name="Day Of Week 1">
              <a:extLst>
                <a:ext uri="{FF2B5EF4-FFF2-40B4-BE49-F238E27FC236}">
                  <a16:creationId xmlns:a16="http://schemas.microsoft.com/office/drawing/2014/main" id="{012EC486-681F-45C3-87B5-84DB63C2642E}"/>
                </a:ext>
              </a:extLst>
            </xdr:cNvPr>
            <xdr:cNvGraphicFramePr/>
          </xdr:nvGraphicFramePr>
          <xdr:xfrm>
            <a:off x="0" y="0"/>
            <a:ext cx="0" cy="0"/>
          </xdr:xfrm>
          <a:graphic>
            <a:graphicData uri="http://schemas.microsoft.com/office/drawing/2010/slicer">
              <sle:slicer xmlns:sle="http://schemas.microsoft.com/office/drawing/2010/slicer" name="Day Of Week 1"/>
            </a:graphicData>
          </a:graphic>
        </xdr:graphicFrame>
      </mc:Choice>
      <mc:Fallback xmlns="">
        <xdr:sp macro="" textlink="">
          <xdr:nvSpPr>
            <xdr:cNvPr id="0" name=""/>
            <xdr:cNvSpPr>
              <a:spLocks noTextEdit="1"/>
            </xdr:cNvSpPr>
          </xdr:nvSpPr>
          <xdr:spPr>
            <a:xfrm>
              <a:off x="4638675" y="66675"/>
              <a:ext cx="6492240" cy="561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28575</xdr:rowOff>
    </xdr:from>
    <xdr:to>
      <xdr:col>20</xdr:col>
      <xdr:colOff>219074</xdr:colOff>
      <xdr:row>3</xdr:row>
      <xdr:rowOff>95250</xdr:rowOff>
    </xdr:to>
    <xdr:sp macro="" textlink="">
      <xdr:nvSpPr>
        <xdr:cNvPr id="2" name="Rectangle: Rounded Corners 1">
          <a:extLst>
            <a:ext uri="{FF2B5EF4-FFF2-40B4-BE49-F238E27FC236}">
              <a16:creationId xmlns:a16="http://schemas.microsoft.com/office/drawing/2014/main" id="{06B01E46-BE49-ADAE-44F8-DEF31749F0FD}"/>
            </a:ext>
          </a:extLst>
        </xdr:cNvPr>
        <xdr:cNvSpPr/>
      </xdr:nvSpPr>
      <xdr:spPr>
        <a:xfrm>
          <a:off x="0" y="28575"/>
          <a:ext cx="12411074" cy="63817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a:solidFill>
                <a:schemeClr val="accent2"/>
              </a:solidFill>
              <a:effectLst/>
              <a:latin typeface="+mn-lt"/>
              <a:ea typeface="+mn-ea"/>
              <a:cs typeface="+mn-cs"/>
            </a:rPr>
            <a:t>Coffee shop analysis</a:t>
          </a:r>
          <a:endParaRPr lang="en-US" sz="2800" b="1">
            <a:solidFill>
              <a:schemeClr val="accent2"/>
            </a:solidFill>
            <a:effectLst/>
          </a:endParaRPr>
        </a:p>
        <a:p>
          <a:pPr algn="l"/>
          <a:endParaRPr lang="en-US" sz="1100"/>
        </a:p>
      </xdr:txBody>
    </xdr:sp>
    <xdr:clientData/>
  </xdr:twoCellAnchor>
  <xdr:twoCellAnchor>
    <xdr:from>
      <xdr:col>0</xdr:col>
      <xdr:colOff>104775</xdr:colOff>
      <xdr:row>3</xdr:row>
      <xdr:rowOff>133350</xdr:rowOff>
    </xdr:from>
    <xdr:to>
      <xdr:col>4</xdr:col>
      <xdr:colOff>238126</xdr:colOff>
      <xdr:row>10</xdr:row>
      <xdr:rowOff>133349</xdr:rowOff>
    </xdr:to>
    <xdr:sp macro="" textlink="">
      <xdr:nvSpPr>
        <xdr:cNvPr id="3" name="Rectangle: Rounded Corners 2">
          <a:extLst>
            <a:ext uri="{FF2B5EF4-FFF2-40B4-BE49-F238E27FC236}">
              <a16:creationId xmlns:a16="http://schemas.microsoft.com/office/drawing/2014/main" id="{D0096BB8-B97C-4A4C-9D24-D9816E51839E}"/>
            </a:ext>
          </a:extLst>
        </xdr:cNvPr>
        <xdr:cNvSpPr/>
      </xdr:nvSpPr>
      <xdr:spPr>
        <a:xfrm>
          <a:off x="104775" y="704850"/>
          <a:ext cx="2571751" cy="133349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accent2"/>
              </a:solidFill>
              <a:effectLst/>
              <a:latin typeface="+mn-lt"/>
              <a:ea typeface="+mn-ea"/>
              <a:cs typeface="+mn-cs"/>
            </a:rPr>
            <a:t>Total Sales</a:t>
          </a:r>
          <a:endParaRPr lang="en-US" sz="2400">
            <a:solidFill>
              <a:schemeClr val="accent2"/>
            </a:solidFill>
            <a:effectLst/>
          </a:endParaRPr>
        </a:p>
        <a:p>
          <a:pPr algn="l"/>
          <a:endParaRPr lang="en-US" sz="1100"/>
        </a:p>
      </xdr:txBody>
    </xdr:sp>
    <xdr:clientData/>
  </xdr:twoCellAnchor>
  <xdr:twoCellAnchor>
    <xdr:from>
      <xdr:col>12</xdr:col>
      <xdr:colOff>428624</xdr:colOff>
      <xdr:row>3</xdr:row>
      <xdr:rowOff>152401</xdr:rowOff>
    </xdr:from>
    <xdr:to>
      <xdr:col>20</xdr:col>
      <xdr:colOff>200025</xdr:colOff>
      <xdr:row>16</xdr:row>
      <xdr:rowOff>1</xdr:rowOff>
    </xdr:to>
    <xdr:graphicFrame macro="">
      <xdr:nvGraphicFramePr>
        <xdr:cNvPr id="4" name="Chart 3">
          <a:extLst>
            <a:ext uri="{FF2B5EF4-FFF2-40B4-BE49-F238E27FC236}">
              <a16:creationId xmlns:a16="http://schemas.microsoft.com/office/drawing/2014/main" id="{21831A29-B20E-4ED8-95B2-071F621AE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438150</xdr:colOff>
      <xdr:row>16</xdr:row>
      <xdr:rowOff>85726</xdr:rowOff>
    </xdr:from>
    <xdr:to>
      <xdr:col>20</xdr:col>
      <xdr:colOff>276226</xdr:colOff>
      <xdr:row>27</xdr:row>
      <xdr:rowOff>19050</xdr:rowOff>
    </xdr:to>
    <xdr:graphicFrame macro="">
      <xdr:nvGraphicFramePr>
        <xdr:cNvPr id="6" name="Chart 5">
          <a:extLst>
            <a:ext uri="{FF2B5EF4-FFF2-40B4-BE49-F238E27FC236}">
              <a16:creationId xmlns:a16="http://schemas.microsoft.com/office/drawing/2014/main" id="{467AC356-4830-4BC8-AE9D-C292954F7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400050</xdr:colOff>
      <xdr:row>3</xdr:row>
      <xdr:rowOff>142874</xdr:rowOff>
    </xdr:from>
    <xdr:to>
      <xdr:col>12</xdr:col>
      <xdr:colOff>323850</xdr:colOff>
      <xdr:row>11</xdr:row>
      <xdr:rowOff>142873</xdr:rowOff>
    </xdr:to>
    <xdr:graphicFrame macro="">
      <xdr:nvGraphicFramePr>
        <xdr:cNvPr id="7" name="Chart 6">
          <a:extLst>
            <a:ext uri="{FF2B5EF4-FFF2-40B4-BE49-F238E27FC236}">
              <a16:creationId xmlns:a16="http://schemas.microsoft.com/office/drawing/2014/main" id="{063CFD65-DA39-40E3-9EF5-F91708ACA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371475</xdr:colOff>
      <xdr:row>21</xdr:row>
      <xdr:rowOff>28575</xdr:rowOff>
    </xdr:from>
    <xdr:to>
      <xdr:col>12</xdr:col>
      <xdr:colOff>361950</xdr:colOff>
      <xdr:row>27</xdr:row>
      <xdr:rowOff>28574</xdr:rowOff>
    </xdr:to>
    <xdr:graphicFrame macro="">
      <xdr:nvGraphicFramePr>
        <xdr:cNvPr id="8" name="Chart 7">
          <a:extLst>
            <a:ext uri="{FF2B5EF4-FFF2-40B4-BE49-F238E27FC236}">
              <a16:creationId xmlns:a16="http://schemas.microsoft.com/office/drawing/2014/main" id="{DB46B6AB-1AF8-43FB-9018-45AE41522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95250</xdr:colOff>
      <xdr:row>11</xdr:row>
      <xdr:rowOff>76201</xdr:rowOff>
    </xdr:from>
    <xdr:to>
      <xdr:col>4</xdr:col>
      <xdr:colOff>219076</xdr:colOff>
      <xdr:row>19</xdr:row>
      <xdr:rowOff>47625</xdr:rowOff>
    </xdr:to>
    <xdr:sp macro="" textlink="">
      <xdr:nvSpPr>
        <xdr:cNvPr id="9" name="Rectangle: Rounded Corners 8">
          <a:extLst>
            <a:ext uri="{FF2B5EF4-FFF2-40B4-BE49-F238E27FC236}">
              <a16:creationId xmlns:a16="http://schemas.microsoft.com/office/drawing/2014/main" id="{9B3FC250-D6C5-46E9-9737-12369464CC68}"/>
            </a:ext>
          </a:extLst>
        </xdr:cNvPr>
        <xdr:cNvSpPr/>
      </xdr:nvSpPr>
      <xdr:spPr>
        <a:xfrm>
          <a:off x="95250" y="2171701"/>
          <a:ext cx="2562226" cy="1495424"/>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accent2"/>
              </a:solidFill>
              <a:effectLst/>
              <a:latin typeface="+mn-lt"/>
              <a:ea typeface="+mn-ea"/>
              <a:cs typeface="+mn-cs"/>
            </a:rPr>
            <a:t>Items of coffee</a:t>
          </a:r>
          <a:endParaRPr lang="en-US" sz="2400">
            <a:solidFill>
              <a:schemeClr val="accent2"/>
            </a:solidFill>
            <a:effectLst/>
          </a:endParaRPr>
        </a:p>
        <a:p>
          <a:pPr algn="l"/>
          <a:endParaRPr lang="en-US" sz="1100"/>
        </a:p>
      </xdr:txBody>
    </xdr:sp>
    <xdr:clientData/>
  </xdr:twoCellAnchor>
  <xdr:twoCellAnchor>
    <xdr:from>
      <xdr:col>0</xdr:col>
      <xdr:colOff>95250</xdr:colOff>
      <xdr:row>19</xdr:row>
      <xdr:rowOff>171450</xdr:rowOff>
    </xdr:from>
    <xdr:to>
      <xdr:col>4</xdr:col>
      <xdr:colOff>200026</xdr:colOff>
      <xdr:row>26</xdr:row>
      <xdr:rowOff>152400</xdr:rowOff>
    </xdr:to>
    <xdr:sp macro="" textlink="">
      <xdr:nvSpPr>
        <xdr:cNvPr id="10" name="Rectangle: Rounded Corners 9">
          <a:extLst>
            <a:ext uri="{FF2B5EF4-FFF2-40B4-BE49-F238E27FC236}">
              <a16:creationId xmlns:a16="http://schemas.microsoft.com/office/drawing/2014/main" id="{18039AEF-B51C-418A-8DFF-681D1E7CD6E1}"/>
            </a:ext>
          </a:extLst>
        </xdr:cNvPr>
        <xdr:cNvSpPr/>
      </xdr:nvSpPr>
      <xdr:spPr>
        <a:xfrm>
          <a:off x="95250" y="3790950"/>
          <a:ext cx="2543176" cy="13144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accent2"/>
              </a:solidFill>
              <a:effectLst/>
              <a:latin typeface="+mn-lt"/>
              <a:ea typeface="+mn-ea"/>
              <a:cs typeface="+mn-cs"/>
            </a:rPr>
            <a:t>Orders</a:t>
          </a:r>
          <a:endParaRPr lang="en-US" sz="2400">
            <a:solidFill>
              <a:schemeClr val="accent2"/>
            </a:solidFill>
            <a:effectLst/>
          </a:endParaRPr>
        </a:p>
        <a:p>
          <a:pPr algn="l"/>
          <a:endParaRPr lang="en-US" sz="1100"/>
        </a:p>
      </xdr:txBody>
    </xdr:sp>
    <xdr:clientData/>
  </xdr:twoCellAnchor>
  <xdr:twoCellAnchor>
    <xdr:from>
      <xdr:col>1</xdr:col>
      <xdr:colOff>123825</xdr:colOff>
      <xdr:row>6</xdr:row>
      <xdr:rowOff>161925</xdr:rowOff>
    </xdr:from>
    <xdr:to>
      <xdr:col>3</xdr:col>
      <xdr:colOff>361950</xdr:colOff>
      <xdr:row>9</xdr:row>
      <xdr:rowOff>104775</xdr:rowOff>
    </xdr:to>
    <xdr:sp macro="" textlink="Sheet5!$B$43">
      <xdr:nvSpPr>
        <xdr:cNvPr id="11" name="TextBox 10">
          <a:extLst>
            <a:ext uri="{FF2B5EF4-FFF2-40B4-BE49-F238E27FC236}">
              <a16:creationId xmlns:a16="http://schemas.microsoft.com/office/drawing/2014/main" id="{4546440E-129F-02F5-42ED-0DD3B11BE395}"/>
            </a:ext>
          </a:extLst>
        </xdr:cNvPr>
        <xdr:cNvSpPr txBox="1"/>
      </xdr:nvSpPr>
      <xdr:spPr>
        <a:xfrm>
          <a:off x="733425" y="1304925"/>
          <a:ext cx="14573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6CC675-7344-4A94-9607-FF87FD5197EB}" type="TxLink">
            <a:rPr lang="en-US" sz="2000" b="1" i="0" u="none" strike="noStrike">
              <a:solidFill>
                <a:srgbClr val="000000"/>
              </a:solidFill>
              <a:latin typeface="Calibri"/>
              <a:cs typeface="Calibri"/>
            </a:rPr>
            <a:pPr algn="ctr"/>
            <a:t>5739.7</a:t>
          </a:fld>
          <a:endParaRPr lang="en-US" sz="2000" b="1"/>
        </a:p>
      </xdr:txBody>
    </xdr:sp>
    <xdr:clientData/>
  </xdr:twoCellAnchor>
  <xdr:twoCellAnchor>
    <xdr:from>
      <xdr:col>1</xdr:col>
      <xdr:colOff>390526</xdr:colOff>
      <xdr:row>15</xdr:row>
      <xdr:rowOff>38100</xdr:rowOff>
    </xdr:from>
    <xdr:to>
      <xdr:col>2</xdr:col>
      <xdr:colOff>590550</xdr:colOff>
      <xdr:row>16</xdr:row>
      <xdr:rowOff>190499</xdr:rowOff>
    </xdr:to>
    <xdr:sp macro="" textlink="Sheet5!N41">
      <xdr:nvSpPr>
        <xdr:cNvPr id="12" name="TextBox 11">
          <a:extLst>
            <a:ext uri="{FF2B5EF4-FFF2-40B4-BE49-F238E27FC236}">
              <a16:creationId xmlns:a16="http://schemas.microsoft.com/office/drawing/2014/main" id="{6D3FDE88-F043-45D5-9D73-18B537CF801F}"/>
            </a:ext>
          </a:extLst>
        </xdr:cNvPr>
        <xdr:cNvSpPr txBox="1"/>
      </xdr:nvSpPr>
      <xdr:spPr>
        <a:xfrm>
          <a:off x="1000126" y="2895600"/>
          <a:ext cx="809624"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C7A63E-6944-4B2D-A7D6-8A4A44D6754A}" type="TxLink">
            <a:rPr lang="en-US" sz="2400" b="1" i="0" u="none" strike="noStrike">
              <a:solidFill>
                <a:srgbClr val="000000"/>
              </a:solidFill>
              <a:latin typeface="Calibri"/>
              <a:cs typeface="Calibri"/>
            </a:rPr>
            <a:pPr algn="ctr"/>
            <a:t>8</a:t>
          </a:fld>
          <a:endParaRPr lang="en-US" sz="2400" b="1"/>
        </a:p>
      </xdr:txBody>
    </xdr:sp>
    <xdr:clientData/>
  </xdr:twoCellAnchor>
  <xdr:twoCellAnchor>
    <xdr:from>
      <xdr:col>1</xdr:col>
      <xdr:colOff>257175</xdr:colOff>
      <xdr:row>23</xdr:row>
      <xdr:rowOff>57150</xdr:rowOff>
    </xdr:from>
    <xdr:to>
      <xdr:col>2</xdr:col>
      <xdr:colOff>523875</xdr:colOff>
      <xdr:row>25</xdr:row>
      <xdr:rowOff>66675</xdr:rowOff>
    </xdr:to>
    <xdr:sp macro="" textlink="Sheet5!$B$70">
      <xdr:nvSpPr>
        <xdr:cNvPr id="13" name="TextBox 12">
          <a:extLst>
            <a:ext uri="{FF2B5EF4-FFF2-40B4-BE49-F238E27FC236}">
              <a16:creationId xmlns:a16="http://schemas.microsoft.com/office/drawing/2014/main" id="{95303E46-CA74-4A54-879F-051B35CF10A7}"/>
            </a:ext>
          </a:extLst>
        </xdr:cNvPr>
        <xdr:cNvSpPr txBox="1"/>
      </xdr:nvSpPr>
      <xdr:spPr>
        <a:xfrm>
          <a:off x="866775" y="4438650"/>
          <a:ext cx="8763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97AC89-C258-4A01-AE9A-6FA53343A005}" type="TxLink">
            <a:rPr lang="en-US" sz="2000" b="1" i="0" u="none" strike="noStrike">
              <a:solidFill>
                <a:srgbClr val="000000"/>
              </a:solidFill>
              <a:latin typeface="Calibri"/>
              <a:cs typeface="Calibri"/>
            </a:rPr>
            <a:pPr algn="ctr"/>
            <a:t>177</a:t>
          </a:fld>
          <a:endParaRPr lang="en-US" sz="2000" b="1"/>
        </a:p>
      </xdr:txBody>
    </xdr:sp>
    <xdr:clientData/>
  </xdr:twoCellAnchor>
  <xdr:twoCellAnchor>
    <xdr:from>
      <xdr:col>4</xdr:col>
      <xdr:colOff>380998</xdr:colOff>
      <xdr:row>12</xdr:row>
      <xdr:rowOff>9525</xdr:rowOff>
    </xdr:from>
    <xdr:to>
      <xdr:col>12</xdr:col>
      <xdr:colOff>342899</xdr:colOff>
      <xdr:row>20</xdr:row>
      <xdr:rowOff>161925</xdr:rowOff>
    </xdr:to>
    <xdr:graphicFrame macro="">
      <xdr:nvGraphicFramePr>
        <xdr:cNvPr id="14" name="Chart 13">
          <a:extLst>
            <a:ext uri="{FF2B5EF4-FFF2-40B4-BE49-F238E27FC236}">
              <a16:creationId xmlns:a16="http://schemas.microsoft.com/office/drawing/2014/main" id="{A70F774E-B27C-4559-9DF9-E3DB5C55D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438150</xdr:colOff>
      <xdr:row>0</xdr:row>
      <xdr:rowOff>28575</xdr:rowOff>
    </xdr:from>
    <xdr:to>
      <xdr:col>20</xdr:col>
      <xdr:colOff>142875</xdr:colOff>
      <xdr:row>2</xdr:row>
      <xdr:rowOff>142875</xdr:rowOff>
    </xdr:to>
    <xdr:sp macro="" textlink="">
      <xdr:nvSpPr>
        <xdr:cNvPr id="15" name="Arrow: Left 14">
          <a:hlinkClick xmlns:r="http://schemas.openxmlformats.org/officeDocument/2006/relationships" r:id="rId6"/>
          <a:extLst>
            <a:ext uri="{FF2B5EF4-FFF2-40B4-BE49-F238E27FC236}">
              <a16:creationId xmlns:a16="http://schemas.microsoft.com/office/drawing/2014/main" id="{33D8BC22-0861-6737-5715-7064F4531208}"/>
            </a:ext>
          </a:extLst>
        </xdr:cNvPr>
        <xdr:cNvSpPr/>
      </xdr:nvSpPr>
      <xdr:spPr>
        <a:xfrm>
          <a:off x="11410950" y="28575"/>
          <a:ext cx="923925" cy="495300"/>
        </a:xfrm>
        <a:prstGeom prst="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200" b="1"/>
            <a:t>Sales</a:t>
          </a:r>
        </a:p>
      </xdr:txBody>
    </xdr:sp>
    <xdr:clientData/>
  </xdr:twoCellAnchor>
  <xdr:twoCellAnchor editAs="oneCell">
    <xdr:from>
      <xdr:col>7</xdr:col>
      <xdr:colOff>152400</xdr:colOff>
      <xdr:row>0</xdr:row>
      <xdr:rowOff>38100</xdr:rowOff>
    </xdr:from>
    <xdr:to>
      <xdr:col>18</xdr:col>
      <xdr:colOff>213360</xdr:colOff>
      <xdr:row>3</xdr:row>
      <xdr:rowOff>66675</xdr:rowOff>
    </xdr:to>
    <mc:AlternateContent xmlns:mc="http://schemas.openxmlformats.org/markup-compatibility/2006" xmlns:a14="http://schemas.microsoft.com/office/drawing/2010/main">
      <mc:Choice Requires="a14">
        <xdr:graphicFrame macro="">
          <xdr:nvGraphicFramePr>
            <xdr:cNvPr id="16" name="Day Of Week 3">
              <a:extLst>
                <a:ext uri="{FF2B5EF4-FFF2-40B4-BE49-F238E27FC236}">
                  <a16:creationId xmlns:a16="http://schemas.microsoft.com/office/drawing/2014/main" id="{8C2BE1AA-394E-4512-AB37-832A2D3CA6D4}"/>
                </a:ext>
              </a:extLst>
            </xdr:cNvPr>
            <xdr:cNvGraphicFramePr/>
          </xdr:nvGraphicFramePr>
          <xdr:xfrm>
            <a:off x="0" y="0"/>
            <a:ext cx="0" cy="0"/>
          </xdr:xfrm>
          <a:graphic>
            <a:graphicData uri="http://schemas.microsoft.com/office/drawing/2010/slicer">
              <sle:slicer xmlns:sle="http://schemas.microsoft.com/office/drawing/2010/slicer" name="Day Of Week 3"/>
            </a:graphicData>
          </a:graphic>
        </xdr:graphicFrame>
      </mc:Choice>
      <mc:Fallback xmlns="">
        <xdr:sp macro="" textlink="">
          <xdr:nvSpPr>
            <xdr:cNvPr id="0" name=""/>
            <xdr:cNvSpPr>
              <a:spLocks noTextEdit="1"/>
            </xdr:cNvSpPr>
          </xdr:nvSpPr>
          <xdr:spPr>
            <a:xfrm>
              <a:off x="4419600" y="38100"/>
              <a:ext cx="6766560"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352425</xdr:colOff>
      <xdr:row>7</xdr:row>
      <xdr:rowOff>57150</xdr:rowOff>
    </xdr:from>
    <xdr:to>
      <xdr:col>10</xdr:col>
      <xdr:colOff>314325</xdr:colOff>
      <xdr:row>21</xdr:row>
      <xdr:rowOff>57150</xdr:rowOff>
    </xdr:to>
    <xdr:graphicFrame macro="">
      <xdr:nvGraphicFramePr>
        <xdr:cNvPr id="2" name="Chart 1">
          <a:extLst>
            <a:ext uri="{FF2B5EF4-FFF2-40B4-BE49-F238E27FC236}">
              <a16:creationId xmlns:a16="http://schemas.microsoft.com/office/drawing/2014/main" id="{0F108F57-B5E0-A44A-A35C-0E84E7F65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542925</xdr:colOff>
      <xdr:row>7</xdr:row>
      <xdr:rowOff>133350</xdr:rowOff>
    </xdr:from>
    <xdr:to>
      <xdr:col>18</xdr:col>
      <xdr:colOff>114300</xdr:colOff>
      <xdr:row>21</xdr:row>
      <xdr:rowOff>133350</xdr:rowOff>
    </xdr:to>
    <xdr:graphicFrame macro="">
      <xdr:nvGraphicFramePr>
        <xdr:cNvPr id="3" name="Chart 2">
          <a:extLst>
            <a:ext uri="{FF2B5EF4-FFF2-40B4-BE49-F238E27FC236}">
              <a16:creationId xmlns:a16="http://schemas.microsoft.com/office/drawing/2014/main" id="{1B09EF2D-3975-197A-0AA7-A5D0571D6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397222224" createdVersion="5" refreshedVersion="8" minRefreshableVersion="3" recordCount="0" supportSubquery="1" supportAdvancedDrill="1" xr:uid="{CAEAAE21-929C-427F-8EC8-541C55E783CF}">
  <cacheSource type="external" connectionId="6"/>
  <cacheFields count="3">
    <cacheField name="[Dim_Hour].[Label hour].[Label hour]" caption="Label hour" numFmtId="0" hierarchy="12" level="1">
      <sharedItems count="4">
        <s v="Afternoon"/>
        <s v="Evening"/>
        <s v="Morning"/>
        <s v="Night"/>
      </sharedItems>
    </cacheField>
    <cacheField name="[Measures].[Orders]" caption="Orders" numFmtId="0" hierarchy="23"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2" memberValueDatatype="130" unbalanced="0">
      <fieldsUsage count="2">
        <fieldUsage x="-1"/>
        <fieldUsage x="0"/>
      </fieldsUsage>
    </cacheHierarchy>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cacheHierarchy uniqueName="[Measures].[Orders]" caption="Orders" measure="1" displayFolder="" measureGroup="Fact_Data" count="0" oneField="1">
      <fieldsUsage count="1">
        <fieldUsage x="1"/>
      </fieldsUsage>
    </cacheHierarchy>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399074072" createdVersion="5" refreshedVersion="8" minRefreshableVersion="3" recordCount="0" supportSubquery="1" supportAdvancedDrill="1" xr:uid="{769E8DE3-0347-4001-9E33-940664DD81E7}">
  <cacheSource type="external" connectionId="6"/>
  <cacheFields count="3">
    <cacheField name="[Calendar].[Month].[Month]" caption="Month" numFmtId="0" hierarchy="4" level="1">
      <sharedItems count="6">
        <s v="March"/>
        <s v="April"/>
        <s v="May"/>
        <s v="June"/>
        <s v="July"/>
        <s v="August"/>
      </sharedItems>
    </cacheField>
    <cacheField name="[Measures].[Orders]" caption="Orders" numFmtId="0" hierarchy="23"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cacheHierarchy uniqueName="[Measures].[Orders]" caption="Orders" measure="1" displayFolder="" measureGroup="Fact_Data" count="0" oneField="1">
      <fieldsUsage count="1">
        <fieldUsage x="1"/>
      </fieldsUsage>
    </cacheHierarchy>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00694442" createdVersion="5" refreshedVersion="8" minRefreshableVersion="3" recordCount="0" supportSubquery="1" supportAdvancedDrill="1" xr:uid="{C08C039B-B67A-4EB3-9E19-D57CB2308FAE}">
  <cacheSource type="external" connectionId="6"/>
  <cacheFields count="3">
    <cacheField name="[Dim_Payment_method].[cash_type].[cash_type]" caption="cash_type" numFmtId="0" hierarchy="14" level="1">
      <sharedItems count="2">
        <s v="card"/>
        <s v="cash"/>
      </sharedItems>
    </cacheField>
    <cacheField name="[Measures].[Orders]" caption="Orders" numFmtId="0" hierarchy="23"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2" memberValueDatatype="130" unbalanced="0">
      <fieldsUsage count="2">
        <fieldUsage x="-1"/>
        <fieldUsage x="0"/>
      </fieldsUsage>
    </cacheHierarchy>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cacheHierarchy uniqueName="[Measures].[Orders]" caption="Orders" measure="1" displayFolder="" measureGroup="Fact_Data" count="0" oneField="1">
      <fieldsUsage count="1">
        <fieldUsage x="1"/>
      </fieldsUsage>
    </cacheHierarchy>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02199074" createdVersion="5" refreshedVersion="8" minRefreshableVersion="3" recordCount="0" supportSubquery="1" supportAdvancedDrill="1" xr:uid="{561F8BC2-D9C8-4355-8564-D09835F1B27C}">
  <cacheSource type="external" connectionId="6"/>
  <cacheFields count="2">
    <cacheField name="[Calendar].[Day Of Week].[Day Of Week]" caption="Day Of Week" numFmtId="0" hierarchy="7" level="1">
      <sharedItems count="1">
        <s v="Monday"/>
      </sharedItems>
    </cacheField>
    <cacheField name="[Measures].[Orders]" caption="Orders" numFmtId="0" hierarchy="23" level="32767"/>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cacheHierarchy uniqueName="[Measures].[Orders]" caption="Orders" measure="1" displayFolder="" measureGroup="Fact_Data" count="0" oneField="1">
      <fieldsUsage count="1">
        <fieldUsage x="1"/>
      </fieldsUsage>
    </cacheHierarchy>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04166667" createdVersion="5" refreshedVersion="8" minRefreshableVersion="3" recordCount="0" supportSubquery="1" supportAdvancedDrill="1" xr:uid="{3EF925A4-224F-46DC-BE1C-1CEC6EDE91D3}">
  <cacheSource type="external" connectionId="6"/>
  <cacheFields count="3">
    <cacheField name="[Calendar].[Month].[Month]" caption="Month" numFmtId="0" hierarchy="4" level="1">
      <sharedItems count="6">
        <s v="March"/>
        <s v="April"/>
        <s v="May"/>
        <s v="June"/>
        <s v="July"/>
        <s v="August"/>
      </sharedItems>
    </cacheField>
    <cacheField name="[Measures].[Total sales]" caption="Total sales" numFmtId="0" hierarchy="21"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oneField="1">
      <fieldsUsage count="1">
        <fieldUsage x="1"/>
      </fieldsUsage>
    </cacheHierarchy>
    <cacheHierarchy uniqueName="[Measures].[Items of coffee]" caption="Items of coffee" measure="1" displayFolder="" measureGroup="Fact_Data" count="0"/>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05671299" createdVersion="5" refreshedVersion="8" minRefreshableVersion="3" recordCount="0" supportSubquery="1" supportAdvancedDrill="1" xr:uid="{E44DE5D5-9F5B-4095-9B8D-57A772B5DDE7}">
  <cacheSource type="external" connectionId="6"/>
  <cacheFields count="3">
    <cacheField name="[Calendar].[Month].[Month]" caption="Month" numFmtId="0" hierarchy="4" level="1">
      <sharedItems count="6">
        <s v="March"/>
        <s v="April"/>
        <s v="May"/>
        <s v="June"/>
        <s v="July"/>
        <s v="August"/>
      </sharedItems>
    </cacheField>
    <cacheField name="[Measures].[Orders]" caption="Orders" numFmtId="0" hierarchy="23"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cacheHierarchy uniqueName="[Measures].[Orders]" caption="Orders" measure="1" displayFolder="" measureGroup="Fact_Data" count="0" oneField="1">
      <fieldsUsage count="1">
        <fieldUsage x="1"/>
      </fieldsUsage>
    </cacheHierarchy>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07175923" createdVersion="5" refreshedVersion="8" minRefreshableVersion="3" recordCount="0" supportSubquery="1" supportAdvancedDrill="1" xr:uid="{9AD6472A-079B-4E81-9646-237BB7FF869F}">
  <cacheSource type="external" connectionId="6"/>
  <cacheFields count="3">
    <cacheField name="[Dim_Coffee].[coffee_name].[coffee_name]" caption="coffee_name" numFmtId="0" hierarchy="9" level="1">
      <sharedItems count="8">
        <s v="Americano"/>
        <s v="Americano with Milk"/>
        <s v="Cappuccino"/>
        <s v="Cocoa"/>
        <s v="Cortado"/>
        <s v="Espresso"/>
        <s v="Hot Chocolate"/>
        <s v="Latte"/>
      </sharedItems>
    </cacheField>
    <cacheField name="[Measures].[Items of coffee]" caption="Items of coffee" numFmtId="0" hierarchy="22"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2" memberValueDatatype="130" unbalanced="0">
      <fieldsUsage count="2">
        <fieldUsage x="-1"/>
        <fieldUsage x="0"/>
      </fieldsUsage>
    </cacheHierarchy>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oneField="1">
      <fieldsUsage count="1">
        <fieldUsage x="1"/>
      </fieldsUsage>
    </cacheHierarchy>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08680555" createdVersion="5" refreshedVersion="8" minRefreshableVersion="3" recordCount="0" supportSubquery="1" supportAdvancedDrill="1" xr:uid="{DA4E6E4F-B5C0-4FDC-84A6-7670B3BD0E35}">
  <cacheSource type="external" connectionId="6"/>
  <cacheFields count="3">
    <cacheField name="[Dim_Coffee].[coffee_name].[coffee_name]" caption="coffee_name" numFmtId="0" hierarchy="9" level="1">
      <sharedItems count="8">
        <s v="Americano"/>
        <s v="Americano with Milk"/>
        <s v="Cappuccino"/>
        <s v="Cocoa"/>
        <s v="Cortado"/>
        <s v="Espresso"/>
        <s v="Hot Chocolate"/>
        <s v="Latte"/>
      </sharedItems>
    </cacheField>
    <cacheField name="[Measures].[Orders]" caption="Orders" numFmtId="0" hierarchy="23"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2" memberValueDatatype="130" unbalanced="0">
      <fieldsUsage count="2">
        <fieldUsage x="-1"/>
        <fieldUsage x="0"/>
      </fieldsUsage>
    </cacheHierarchy>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cacheHierarchy uniqueName="[Measures].[Orders]" caption="Orders" measure="1" displayFolder="" measureGroup="Fact_Data" count="0" oneField="1">
      <fieldsUsage count="1">
        <fieldUsage x="1"/>
      </fieldsUsage>
    </cacheHierarchy>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13310189" createdVersion="5" refreshedVersion="8" minRefreshableVersion="3" recordCount="0" supportSubquery="1" supportAdvancedDrill="1" xr:uid="{A94CAAE0-2688-4591-BBDD-DE4AA27B45C7}">
  <cacheSource type="external" connectionId="6"/>
  <cacheFields count="3">
    <cacheField name="[Dim_Coffee].[coffee_name].[coffee_name]" caption="coffee_name" numFmtId="0" hierarchy="9" level="1">
      <sharedItems count="8">
        <s v="Americano"/>
        <s v="Americano with Milk"/>
        <s v="Cappuccino"/>
        <s v="Cocoa"/>
        <s v="Cortado"/>
        <s v="Espresso"/>
        <s v="Hot Chocolate"/>
        <s v="Latte"/>
      </sharedItems>
    </cacheField>
    <cacheField name="[Measures].[Total sales]" caption="Total sales" numFmtId="0" hierarchy="21"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2" memberValueDatatype="130" unbalanced="0">
      <fieldsUsage count="2">
        <fieldUsage x="-1"/>
        <fieldUsage x="0"/>
      </fieldsUsage>
    </cacheHierarchy>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oneField="1">
      <fieldsUsage count="1">
        <fieldUsage x="1"/>
      </fieldsUsage>
    </cacheHierarchy>
    <cacheHierarchy uniqueName="[Measures].[Items of coffee]" caption="Items of coffee" measure="1" displayFolder="" measureGroup="Fact_Data" count="0"/>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14699074" createdVersion="5" refreshedVersion="8" minRefreshableVersion="3" recordCount="0" supportSubquery="1" supportAdvancedDrill="1" xr:uid="{E3D6B02C-AF92-4C96-A80D-D6A6AAA2A95B}">
  <cacheSource type="external" connectionId="6"/>
  <cacheFields count="3">
    <cacheField name="[Dim_Payment_method].[cash_type].[cash_type]" caption="cash_type" numFmtId="0" hierarchy="14" level="1">
      <sharedItems count="2">
        <s v="card"/>
        <s v="cash"/>
      </sharedItems>
    </cacheField>
    <cacheField name="[Measures].[Total sales]" caption="Total sales" numFmtId="0" hierarchy="21"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2" memberValueDatatype="130" unbalanced="0">
      <fieldsUsage count="2">
        <fieldUsage x="-1"/>
        <fieldUsage x="0"/>
      </fieldsUsage>
    </cacheHierarchy>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oneField="1">
      <fieldsUsage count="1">
        <fieldUsage x="1"/>
      </fieldsUsage>
    </cacheHierarchy>
    <cacheHierarchy uniqueName="[Measures].[Items of coffee]" caption="Items of coffee" measure="1" displayFolder="" measureGroup="Fact_Data" count="0"/>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15972221" createdVersion="5" refreshedVersion="8" minRefreshableVersion="3" recordCount="0" supportSubquery="1" supportAdvancedDrill="1" xr:uid="{BA2F7E0C-59BF-4303-AB1F-91C2B242843F}">
  <cacheSource type="external" connectionId="6"/>
  <cacheFields count="3">
    <cacheField name="[Dim_Hour].[Label hour].[Label hour]" caption="Label hour" numFmtId="0" hierarchy="12" level="1">
      <sharedItems count="4">
        <s v="Afternoon"/>
        <s v="Evening"/>
        <s v="Morning"/>
        <s v="Night"/>
      </sharedItems>
    </cacheField>
    <cacheField name="[Measures].[Total sales]" caption="Total sales" numFmtId="0" hierarchy="21"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2" memberValueDatatype="130" unbalanced="0">
      <fieldsUsage count="2">
        <fieldUsage x="-1"/>
        <fieldUsage x="0"/>
      </fieldsUsage>
    </cacheHierarchy>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oneField="1">
      <fieldsUsage count="1">
        <fieldUsage x="1"/>
      </fieldsUsage>
    </cacheHierarchy>
    <cacheHierarchy uniqueName="[Measures].[Items of coffee]" caption="Items of coffee" measure="1" displayFolder="" measureGroup="Fact_Data" count="0"/>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17476853" createdVersion="5" refreshedVersion="8" minRefreshableVersion="3" recordCount="0" supportSubquery="1" supportAdvancedDrill="1" xr:uid="{694FB262-78E3-4F53-99A5-E97BC562392E}">
  <cacheSource type="external" connectionId="6"/>
  <cacheFields count="2">
    <cacheField name="[Calendar].[Day Of Week].[Day Of Week]" caption="Day Of Week" numFmtId="0" hierarchy="7" level="1">
      <sharedItems count="7">
        <s v="Sunday"/>
        <s v="Monday"/>
        <s v="Tuesday"/>
        <s v="Wednesday"/>
        <s v="Thursday"/>
        <s v="Friday"/>
        <s v="Saturday"/>
      </sharedItems>
    </cacheField>
    <cacheField name="[Measures].[Total sales]" caption="Total sales" numFmtId="0" hierarchy="21" level="32767"/>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oneField="1">
      <fieldsUsage count="1">
        <fieldUsage x="1"/>
      </fieldsUsage>
    </cacheHierarchy>
    <cacheHierarchy uniqueName="[Measures].[Items of coffee]" caption="Items of coffee" measure="1" displayFolder="" measureGroup="Fact_Data" count="0"/>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18981485" createdVersion="5" refreshedVersion="8" minRefreshableVersion="3" recordCount="0" supportSubquery="1" supportAdvancedDrill="1" xr:uid="{6A86F0FD-B331-4160-92CF-BCEB76040572}">
  <cacheSource type="external" connectionId="6"/>
  <cacheFields count="3">
    <cacheField name="[Calendar].[Month].[Month]" caption="Month" numFmtId="0" hierarchy="4" level="1">
      <sharedItems count="6">
        <s v="March"/>
        <s v="April"/>
        <s v="May"/>
        <s v="June"/>
        <s v="July"/>
        <s v="August"/>
      </sharedItems>
    </cacheField>
    <cacheField name="[Measures].[Total sales]" caption="Total sales" numFmtId="0" hierarchy="21"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oneField="1">
      <fieldsUsage count="1">
        <fieldUsage x="1"/>
      </fieldsUsage>
    </cacheHierarchy>
    <cacheHierarchy uniqueName="[Measures].[Items of coffee]" caption="Items of coffee" measure="1" displayFolder="" measureGroup="Fact_Data" count="0"/>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20486109" createdVersion="5" refreshedVersion="8" minRefreshableVersion="3" recordCount="0" supportSubquery="1" supportAdvancedDrill="1" xr:uid="{32E38BF2-2441-4433-B17A-B7E09D11399A}">
  <cacheSource type="external" connectionId="6"/>
  <cacheFields count="3">
    <cacheField name="[Calendar].[Month].[Month]" caption="Month" numFmtId="0" hierarchy="4" level="1">
      <sharedItems count="6">
        <s v="March"/>
        <s v="April"/>
        <s v="May"/>
        <s v="June"/>
        <s v="July"/>
        <s v="August"/>
      </sharedItems>
    </cacheField>
    <cacheField name="[Measures].[Orders]" caption="Orders" numFmtId="0" hierarchy="23"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cacheHierarchy uniqueName="[Measures].[Orders]" caption="Orders" measure="1" displayFolder="" measureGroup="Fact_Data" count="0" oneField="1">
      <fieldsUsage count="1">
        <fieldUsage x="1"/>
      </fieldsUsage>
    </cacheHierarchy>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22106479" createdVersion="5" refreshedVersion="8" minRefreshableVersion="3" recordCount="0" supportSubquery="1" supportAdvancedDrill="1" xr:uid="{A60A5F28-D64A-475D-89A5-AE45D829A30B}">
  <cacheSource type="external" connectionId="6"/>
  <cacheFields count="3">
    <cacheField name="[Dim_Coffee].[coffee_name].[coffee_name]" caption="coffee_name" numFmtId="0" hierarchy="9" level="1">
      <sharedItems count="8">
        <s v="Americano"/>
        <s v="Americano with Milk"/>
        <s v="Cappuccino"/>
        <s v="Cocoa"/>
        <s v="Cortado"/>
        <s v="Espresso"/>
        <s v="Hot Chocolate"/>
        <s v="Latte"/>
      </sharedItems>
    </cacheField>
    <cacheField name="[Measures].[Items of coffee]" caption="Items of coffee" numFmtId="0" hierarchy="22"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2" memberValueDatatype="130" unbalanced="0">
      <fieldsUsage count="2">
        <fieldUsage x="-1"/>
        <fieldUsage x="0"/>
      </fieldsUsage>
    </cacheHierarchy>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oneField="1">
      <fieldsUsage count="1">
        <fieldUsage x="1"/>
      </fieldsUsage>
    </cacheHierarchy>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23611111" createdVersion="5" refreshedVersion="8" minRefreshableVersion="3" recordCount="0" supportSubquery="1" supportAdvancedDrill="1" xr:uid="{EA8E6F73-89CE-41AB-95AB-66D56F58B3CB}">
  <cacheSource type="external" connectionId="6"/>
  <cacheFields count="3">
    <cacheField name="[Calendar].[Month].[Month]" caption="Month" numFmtId="0" hierarchy="4" level="1">
      <sharedItems count="6">
        <s v="March"/>
        <s v="April"/>
        <s v="May"/>
        <s v="June"/>
        <s v="July"/>
        <s v="August"/>
      </sharedItems>
    </cacheField>
    <cacheField name="[Measures].[Total sales]" caption="Total sales" numFmtId="0" hierarchy="21" level="32767"/>
    <cacheField name="[Calendar].[Day Of Week].[Day Of Week]" caption="Day Of Week" numFmtId="0" hierarchy="7"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2"/>
      </fieldsUsage>
    </cacheHierarchy>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oneField="1">
      <fieldsUsage count="1">
        <fieldUsage x="1"/>
      </fieldsUsage>
    </cacheHierarchy>
    <cacheHierarchy uniqueName="[Measures].[Items of coffee]" caption="Items of coffee" measure="1" displayFolder="" measureGroup="Fact_Data" count="0"/>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im_Coffee" uniqueName="[Dim_Coffee]" caption="Dim_Coffee"/>
    <dimension name="Dim_Hour" uniqueName="[Dim_Hour]" caption="Dim_Hour"/>
    <dimension name="Dim_Payment_method" uniqueName="[Dim_Payment_method]" caption="Dim_Payment_method"/>
    <dimension name="Fact_Data" uniqueName="[Fact_Data]" caption="Fact_Data"/>
    <dimension measure="1" name="Measures" uniqueName="[Measures]" caption="Measures"/>
  </dimensions>
  <measureGroups count="5">
    <measureGroup name="Calendar" caption="Calendar"/>
    <measureGroup name="Dim_Coffee" caption="Dim_Coffee"/>
    <measureGroup name="Dim_Hour" caption="Dim_Hour"/>
    <measureGroup name="Dim_Payment_method" caption="Dim_Payment_method"/>
    <measureGroup name="Fact_Data" caption="Fact_Data"/>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394907407" createdVersion="3" refreshedVersion="8" minRefreshableVersion="3" recordCount="0" supportSubquery="1" supportAdvancedDrill="1" xr:uid="{94B228A1-E828-45E7-891E-8FE2B964F42F}">
  <cacheSource type="external" connectionId="6">
    <extLst>
      <ext xmlns:x14="http://schemas.microsoft.com/office/spreadsheetml/2009/9/main" uri="{F057638F-6D5F-4e77-A914-E7F072B9BCA8}">
        <x14:sourceConnection name="ThisWorkbookDataModel"/>
      </ext>
    </extLst>
  </cacheSource>
  <cacheFields count="0"/>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05677213"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1" refreshedDate="46136.778411689818" createdVersion="3" refreshedVersion="8" minRefreshableVersion="3" recordCount="0" supportSubquery="1" supportAdvancedDrill="1" xr:uid="{7F1CB867-779E-46AA-A8EF-A5F0C1224A1E}">
  <cacheSource type="external" connectionId="6">
    <extLst>
      <ext xmlns:x14="http://schemas.microsoft.com/office/spreadsheetml/2009/9/main" uri="{F057638F-6D5F-4e77-A914-E7F072B9BCA8}">
        <x14:sourceConnection name="ThisWorkbookDataModel"/>
      </ext>
    </extLst>
  </cacheSource>
  <cacheFields count="0"/>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im_Coffee].[ID_coffee]" caption="ID_coffee" attribute="1" defaultMemberUniqueName="[Dim_Coffee].[ID_coffee].[All]" allUniqueName="[Dim_Coffee].[ID_coffee].[All]" dimensionUniqueName="[Dim_Coffee]" displayFolder="" count="0" memberValueDatatype="20" unbalanced="0"/>
    <cacheHierarchy uniqueName="[Dim_Coffee].[coffee_name]" caption="coffee_name" attribute="1" defaultMemberUniqueName="[Dim_Coffee].[coffee_name].[All]" allUniqueName="[Dim_Coffee].[coffee_name].[All]" dimensionUniqueName="[Dim_Coffee]" displayFolder="" count="0" memberValueDatatype="130" unbalanced="0"/>
    <cacheHierarchy uniqueName="[Dim_Hour].[ID_houe]" caption="ID_houe" attribute="1" defaultMemberUniqueName="[Dim_Hour].[ID_houe].[All]" allUniqueName="[Dim_Hour].[ID_houe].[All]" dimensionUniqueName="[Dim_Hour]" displayFolder="" count="0" memberValueDatatype="20" unbalanced="0"/>
    <cacheHierarchy uniqueName="[Dim_Hour].[Hour]" caption="Hour" attribute="1" defaultMemberUniqueName="[Dim_Hour].[Hour].[All]" allUniqueName="[Dim_Hour].[Hour].[All]" dimensionUniqueName="[Dim_Hour]" displayFolder="" count="0" memberValueDatatype="20" unbalanced="0"/>
    <cacheHierarchy uniqueName="[Dim_Hour].[Label hour]" caption="Label hour" attribute="1" defaultMemberUniqueName="[Dim_Hour].[Label hour].[All]" allUniqueName="[Dim_Hour].[Label hour].[All]" dimensionUniqueName="[Dim_Hour]" displayFolder="" count="0" memberValueDatatype="130" unbalanced="0"/>
    <cacheHierarchy uniqueName="[Dim_Payment_method].[ID_payment]" caption="ID_payment" attribute="1" defaultMemberUniqueName="[Dim_Payment_method].[ID_payment].[All]" allUniqueName="[Dim_Payment_method].[ID_payment].[All]" dimensionUniqueName="[Dim_Payment_method]" displayFolder="" count="0" memberValueDatatype="20" unbalanced="0"/>
    <cacheHierarchy uniqueName="[Dim_Payment_method].[cash_type]" caption="cash_type" attribute="1" defaultMemberUniqueName="[Dim_Payment_method].[cash_type].[All]" allUniqueName="[Dim_Payment_method].[cash_type].[All]" dimensionUniqueName="[Dim_Payment_method]" displayFolder="" count="0" memberValueDatatype="130" unbalanced="0"/>
    <cacheHierarchy uniqueName="[Fact_Data].[ID]" caption="ID" attribute="1" defaultMemberUniqueName="[Fact_Data].[ID].[All]" allUniqueName="[Fact_Data].[ID].[All]" dimensionUniqueName="[Fact_Data]" displayFolder="" count="0" memberValueDatatype="20" unbalanced="0"/>
    <cacheHierarchy uniqueName="[Fact_Data].[ID_coffee]" caption="ID_coffee" attribute="1" defaultMemberUniqueName="[Fact_Data].[ID_coffee].[All]" allUniqueName="[Fact_Data].[ID_coffee].[All]" dimensionUniqueName="[Fact_Data]" displayFolder="" count="0" memberValueDatatype="20" unbalanced="0"/>
    <cacheHierarchy uniqueName="[Fact_Data].[ID_payment]" caption="ID_payment" attribute="1" defaultMemberUniqueName="[Fact_Data].[ID_payment].[All]" allUniqueName="[Fact_Data].[ID_payment].[All]" dimensionUniqueName="[Fact_Data]" displayFolder="" count="0" memberValueDatatype="20" unbalanced="0"/>
    <cacheHierarchy uniqueName="[Fact_Data].[ID_houe]" caption="ID_houe" attribute="1" defaultMemberUniqueName="[Fact_Data].[ID_houe].[All]" allUniqueName="[Fact_Data].[ID_houe].[All]" dimensionUniqueName="[Fact_Data]" displayFolder="" count="0" memberValueDatatype="20" unbalanced="0"/>
    <cacheHierarchy uniqueName="[Fact_Data].[date]" caption="date" attribute="1" time="1" defaultMemberUniqueName="[Fact_Data].[date].[All]" allUniqueName="[Fact_Data].[date].[All]" dimensionUniqueName="[Fact_Data]" displayFolder="" count="0" memberValueDatatype="7" unbalanced="0"/>
    <cacheHierarchy uniqueName="[Fact_Data].[money]" caption="money" attribute="1" defaultMemberUniqueName="[Fact_Data].[money].[All]" allUniqueName="[Fact_Data].[money].[All]" dimensionUniqueName="[Fact_Data]" displayFolder="" count="0" memberValueDatatype="5" unbalanced="0"/>
    <cacheHierarchy uniqueName="[Measures].[Total sales]" caption="Total sales" measure="1" displayFolder="" measureGroup="Fact_Data" count="0"/>
    <cacheHierarchy uniqueName="[Measures].[Items of coffee]" caption="Items of coffee" measure="1" displayFolder="" measureGroup="Fact_Data" count="0"/>
    <cacheHierarchy uniqueName="[Measures].[Orders]" caption="Orders" measure="1" displayFolder="" measureGroup="Fact_Data" count="0"/>
    <cacheHierarchy uniqueName="[Measures].[__XL_Count Fact_Data]" caption="__XL_Count Fact_Data" measure="1" displayFolder="" measureGroup="Fact_Data" count="0" hidden="1"/>
    <cacheHierarchy uniqueName="[Measures].[__XL_Count Dim_Coffee]" caption="__XL_Count Dim_Coffee" measure="1" displayFolder="" measureGroup="Dim_Coffee" count="0" hidden="1"/>
    <cacheHierarchy uniqueName="[Measures].[__XL_Count Dim_Payment_method]" caption="__XL_Count Dim_Payment_method" measure="1" displayFolder="" measureGroup="Dim_Payment_method" count="0" hidden="1"/>
    <cacheHierarchy uniqueName="[Measures].[__XL_Count Dim_Hour]" caption="__XL_Count Dim_Hour" measure="1" displayFolder="" measureGroup="Dim_Hou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29779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7278D8-B7E0-4F8E-AAC0-0C84AE2C3403}" name="PivotTable1" cacheId="46" applyNumberFormats="0" applyBorderFormats="0" applyFontFormats="0" applyPatternFormats="0" applyAlignmentFormats="0" applyWidthHeightFormats="1" dataCaption="Values" tag="cac6f74c-aeae-4b8a-b841-af808e3af870" updatedVersion="8" minRefreshableVersion="3" useAutoFormatting="1" itemPrintTitles="1" createdVersion="5" indent="0" outline="1" outlineData="1" multipleFieldFilters="0" chartFormat="11">
  <location ref="A1:B1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2"/>
    </i>
    <i>
      <x/>
    </i>
    <i>
      <x v="4"/>
    </i>
    <i>
      <x v="6"/>
    </i>
    <i>
      <x v="3"/>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ffee]"/>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FD739-7163-46D7-8125-A10E3877AE9C}" name="PivotTable4" cacheId="52" applyNumberFormats="0" applyBorderFormats="0" applyFontFormats="0" applyPatternFormats="0" applyAlignmentFormats="0" applyWidthHeightFormats="1" dataCaption="Values" tag="d56c1f0e-88f0-4aa3-b96e-75ceafc27547" updatedVersion="8" minRefreshableVersion="3" useAutoFormatting="1" itemPrintTitles="1" createdVersion="5" indent="0" outline="1" outlineData="1" multipleFieldFilters="0" chartFormat="8">
  <location ref="H13:I1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u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D6D4F4-78FD-4CBE-A880-513C0192D344}" name="PivotTable3" cacheId="49" applyNumberFormats="0" applyBorderFormats="0" applyFontFormats="0" applyPatternFormats="0" applyAlignmentFormats="0" applyWidthHeightFormats="1" dataCaption="Values" tag="20927c89-bfc4-4b00-8954-b7766772a198" updatedVersion="8" minRefreshableVersion="3" useAutoFormatting="1" itemPrintTitles="1" createdVersion="5" indent="0" outline="1" outlineData="1" multipleFieldFilters="0" chartFormat="8">
  <location ref="A14:B1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yment_method]"/>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75FDA3-9BDC-430C-A65F-0987437F5468}" name="PivotTable2" cacheId="67" applyNumberFormats="0" applyBorderFormats="0" applyFontFormats="0" applyPatternFormats="0" applyAlignmentFormats="0" applyWidthHeightFormats="1" dataCaption="Values" tag="3c577f6b-2114-418e-9aaa-043f479d23d9" updatedVersion="8" minRefreshableVersion="3" useAutoFormatting="1" itemPrintTitles="1" createdVersion="5" indent="0" outline="1" outlineData="1" multipleFieldFilters="0" chartFormat="13">
  <location ref="H1:I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97941C-B67F-4C48-A9EF-B6AF16122FBE}" name="PivotTable7" cacheId="24" applyNumberFormats="0" applyBorderFormats="0" applyFontFormats="0" applyPatternFormats="0" applyAlignmentFormats="0" applyWidthHeightFormats="1" dataCaption="Values" tag="39c10769-e86c-40fe-9f96-bff3804129cf" updatedVersion="8" minRefreshableVersion="3" useAutoFormatting="1" itemPrintTitles="1" createdVersion="5" indent="0" outline="1" outlineData="1" multipleFieldFilters="0" chartFormat="7">
  <location ref="A28:B3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dragToData="1"/>
    <pivotHierarchy dragToData="1"/>
    <pivotHierarchy dragToData="1"/>
    <pivotHierarchy multipleItemSelectionAllowed="1" dragToData="1">
      <members count="1" level="1">
        <member name="[Calendar].[Day Of Week].&amp;[Mon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BDD978-1F3E-4E8E-AA85-8CEE089A282E}" name="PivotTable6" cacheId="21" applyNumberFormats="0" applyBorderFormats="0" applyFontFormats="0" applyPatternFormats="0" applyAlignmentFormats="0" applyWidthHeightFormats="1" dataCaption="Values" tag="630ea35c-183a-4bd0-bdb8-543bc0cc1155" updatedVersion="8" minRefreshableVersion="3" useAutoFormatting="1" itemPrintTitles="1" createdVersion="5" indent="0" outline="1" outlineData="1" multipleFieldFilters="0" chartFormat="6">
  <location ref="G1:H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dragToData="1"/>
    <pivotHierarchy dragToData="1"/>
    <pivotHierarchy dragToData="1"/>
    <pivotHierarchy multipleItemSelectionAllowed="1" dragToData="1">
      <members count="1" level="1">
        <member name="[Calendar].[Day Of Week].&amp;[Mon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u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1CECDF-95DA-4DDD-8431-3788D224C7F6}" name="PivotTable5" cacheId="42" applyNumberFormats="0" applyBorderFormats="0" applyFontFormats="0" applyPatternFormats="0" applyAlignmentFormats="0" applyWidthHeightFormats="1" dataCaption="Values" tag="ada194eb-578d-4c54-9a6d-83af0ed6c132" updatedVersion="8" minRefreshableVersion="3" useAutoFormatting="1" itemPrintTitles="1" createdVersion="5" indent="0" outline="1" outlineData="1" multipleFieldFilters="0" chartFormat="7">
  <location ref="A1:B1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i>
    <i>
      <x v="7"/>
    </i>
    <i>
      <x v="2"/>
    </i>
    <i>
      <x v="4"/>
    </i>
    <i>
      <x v="6"/>
    </i>
    <i>
      <x v="5"/>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dragToData="1"/>
    <pivotHierarchy dragToData="1"/>
    <pivotHierarchy dragToData="1"/>
    <pivotHierarchy multipleItemSelectionAllowed="1" dragToData="1">
      <members count="1" level="1">
        <member name="[Calendar].[Day Of Week].&amp;[Mon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ffee]"/>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6644B1-E93C-40EC-B2E9-224FBA2B6A15}" name="PivotTable8" cacheId="27" applyNumberFormats="0" applyBorderFormats="0" applyFontFormats="0" applyPatternFormats="0" applyAlignmentFormats="0" applyWidthHeightFormats="1" dataCaption="Values" tag="fa8b5f88-7af7-4306-8810-89e1765789f2" updatedVersion="8" minRefreshableVersion="3" useAutoFormatting="1" itemPrintTitles="1" createdVersion="5" indent="0" outline="1" outlineData="1" multipleFieldFilters="0" chartFormat="6">
  <location ref="H28:I3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pivotHierarchy dragToData="1"/>
    <pivotHierarchy dragToData="1"/>
    <pivotHierarchy dragToData="1"/>
    <pivotHierarchy dragToData="1"/>
    <pivotHierarchy dragToData="1"/>
    <pivotHierarchy multipleItemSelectionAllowed="1" dragToData="1">
      <members count="1" level="1">
        <member name="[Calendar].[Day Of Week].&amp;[Mon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yment_method]"/>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7EB931-A7B7-4867-B6E3-CB1D17A94A45}" name="PivotTable1" cacheId="58" applyNumberFormats="0" applyBorderFormats="0" applyFontFormats="0" applyPatternFormats="0" applyAlignmentFormats="0" applyWidthHeightFormats="1" dataCaption="Values" tag="639cbbd3-c9db-4d65-a64c-266503bc50dc" updatedVersion="8" minRefreshableVersion="3" useAutoFormatting="1" itemPrintTitles="1" createdVersion="5" indent="0" outline="1" outlineData="1" multipleFieldFilters="0">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30">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BD8F96-D69A-4545-B7E3-E524C67FC3DB}" name="PivotTable6" cacheId="36" applyNumberFormats="0" applyBorderFormats="0" applyFontFormats="0" applyPatternFormats="0" applyAlignmentFormats="0" applyWidthHeightFormats="1" dataCaption="Values" tag="673f780a-0881-48d8-8177-63371c2e98f1" updatedVersion="8" minRefreshableVersion="3" useAutoFormatting="1" itemPrintTitles="1" createdVersion="5" indent="0" outline="1" outlineData="1" multipleFieldFilters="0">
  <location ref="A62:B6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30">
    <pivotHierarchy dragToData="1"/>
    <pivotHierarchy/>
    <pivotHierarchy dragToData="1"/>
    <pivotHierarchy dragToData="1"/>
    <pivotHierarchy dragToData="1"/>
    <pivotHierarchy dragToData="1"/>
    <pivotHierarchy dragToData="1"/>
    <pivotHierarchy multipleItemSelectionAllowed="1" dragToData="1">
      <members count="1" level="1">
        <member name="[Calendar].[Day Of Week].&amp;[Mon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C7CC9B-EECC-49D6-B48C-DF18CA45EE92}" name="PivotTable3" cacheId="30" applyNumberFormats="0" applyBorderFormats="0" applyFontFormats="0" applyPatternFormats="0" applyAlignmentFormats="0" applyWidthHeightFormats="1" dataCaption="Values" tag="f67bad2c-4a7c-425a-9978-192a9aa0a5c1" updatedVersion="8" minRefreshableVersion="3" useAutoFormatting="1" itemPrintTitles="1" createdVersion="5" indent="0" outline="1" outlineData="1" multipleFieldFilters="0" chartFormat="6">
  <location ref="N1:O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62F46D-2A30-4D30-81DA-AAED8A3EB16A}" name="PivotTable2" cacheId="55" applyNumberFormats="0" applyBorderFormats="0" applyFontFormats="0" applyPatternFormats="0" applyAlignmentFormats="0" applyWidthHeightFormats="1" dataCaption="Values" tag="53aa3963-5026-478a-896c-dfe9f5c9a2ad" updatedVersion="8" minRefreshableVersion="3" useAutoFormatting="1" itemPrintTitles="1" createdVersion="5" indent="0" outline="1" outlineData="1" multipleFieldFilters="0" chartFormat="6">
  <location ref="H1:I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731D4C-E232-465A-847B-38BFA0FE194B}" name="PivotTable8" cacheId="39" applyNumberFormats="0" applyBorderFormats="0" applyFontFormats="0" applyPatternFormats="0" applyAlignmentFormats="0" applyWidthHeightFormats="1" dataCaption="Values" tag="bd89bbd6-00e7-4b88-84f9-384e39239a7c" updatedVersion="8" minRefreshableVersion="3" useAutoFormatting="1" itemPrintTitles="1" createdVersion="5" indent="0" outline="1" outlineData="1" multipleFieldFilters="0">
  <location ref="M31:N4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pivotHierarchies count="30">
    <pivotHierarchy dragToData="1"/>
    <pivotHierarchy/>
    <pivotHierarchy dragToData="1"/>
    <pivotHierarchy dragToData="1"/>
    <pivotHierarchy dragToData="1"/>
    <pivotHierarchy dragToData="1"/>
    <pivotHierarchy dragToData="1"/>
    <pivotHierarchy multipleItemSelectionAllowed="1" dragToData="1">
      <members count="1" level="1">
        <member name="[Calendar].[Day Of Week].&amp;[Mon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ffee]"/>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B69FFE-ED5D-4067-8DAA-18D85D4D3F80}" name="PivotTable5" cacheId="33" applyNumberFormats="0" applyBorderFormats="0" applyFontFormats="0" applyPatternFormats="0" applyAlignmentFormats="0" applyWidthHeightFormats="1" dataCaption="Values" tag="d545c64d-7034-4620-afa8-73f7a0426d36" updatedVersion="8" minRefreshableVersion="3" useAutoFormatting="1" itemPrintTitles="1" createdVersion="5" indent="0" outline="1" outlineData="1" multipleFieldFilters="0">
  <location ref="A35:B4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30">
    <pivotHierarchy dragToData="1"/>
    <pivotHierarchy/>
    <pivotHierarchy dragToData="1"/>
    <pivotHierarchy dragToData="1"/>
    <pivotHierarchy dragToData="1"/>
    <pivotHierarchy dragToData="1"/>
    <pivotHierarchy dragToData="1"/>
    <pivotHierarchy multipleItemSelectionAllowed="1" dragToData="1">
      <members count="1" level="1">
        <member name="[Calendar].[Day Of Week].&amp;[Mon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F42714-AE71-4EAC-AD02-D4CF64327733}" name="PivotTable7" cacheId="64" applyNumberFormats="0" applyBorderFormats="0" applyFontFormats="0" applyPatternFormats="0" applyAlignmentFormats="0" applyWidthHeightFormats="1" dataCaption="Values" tag="b9c3909d-edfd-452d-b3dc-18082dc31508" updatedVersion="8" minRefreshableVersion="3" useAutoFormatting="1" itemPrintTitles="1" createdVersion="5" indent="0" outline="1" outlineData="1" multipleFieldFilters="0">
  <location ref="I32:J4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pivotHierarchies count="30">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ffee]"/>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A1AF237-6F12-45DD-9C8D-5D4A19346065}" name="PivotTable4" cacheId="61" applyNumberFormats="0" applyBorderFormats="0" applyFontFormats="0" applyPatternFormats="0" applyAlignmentFormats="0" applyWidthHeightFormats="1" dataCaption="Values" tag="66d2e181-7ad7-45cd-bd11-979d7834d599" updatedVersion="8" minRefreshableVersion="3" useAutoFormatting="1" itemPrintTitles="1" createdVersion="5" indent="0" outline="1" outlineData="1" multipleFieldFilters="0">
  <location ref="A12:B1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30">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824AD965-CC74-4B0F-872C-921AEF39BE88}" sourceName="[Calendar].[Day Of Week]">
  <pivotTables>
    <pivotTable tabId="1" name="PivotTable2"/>
    <pivotTable tabId="1" name="PivotTable1"/>
    <pivotTable tabId="1" name="PivotTable3"/>
    <pivotTable tabId="1" name="PivotTable4"/>
    <pivotTable tabId="5" name="PivotTable2"/>
    <pivotTable tabId="5" name="PivotTable1"/>
    <pivotTable tabId="5" name="PivotTable4"/>
    <pivotTable tabId="5" name="PivotTable7"/>
  </pivotTables>
  <data>
    <olap pivotCacheId="1152977986">
      <levels count="2">
        <level uniqueName="[Calendar].[Day Of Week].[(All)]" sourceCaption="(All)" count="0"/>
        <level uniqueName="[Calendar].[Day Of Week].[Day Of Week]" sourceCaption="Day Of Week" count="7">
          <ranges>
            <range startItem="0">
              <i n="[Calendar].[Day Of Week].&amp;[Sunday]" c="Sunday"/>
              <i n="[Calendar].[Day Of Week].&amp;[Monday]" c="Monday"/>
              <i n="[Calendar].[Day Of Week].&amp;[Tuesday]" c="Tuesday"/>
              <i n="[Calendar].[Day Of Week].&amp;[Wednesday]" c="Wednesday"/>
              <i n="[Calendar].[Day Of Week].&amp;[Thursday]" c="Thursday"/>
              <i n="[Calendar].[Day Of Week].&amp;[Friday]" c="Friday"/>
              <i n="[Calendar].[Day Of Week].&amp;[Saturday]" c="Saturday"/>
            </range>
          </ranges>
        </level>
      </levels>
      <selections count="1">
        <selection n="[Calendar].[Day Of Week].[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1" xr10:uid="{886EBDF2-3032-4135-BAA6-8564786605BD}" sourceName="[Calendar].[Day Of Week]">
  <pivotTables>
    <pivotTable tabId="2" name="PivotTable5"/>
    <pivotTable tabId="2" name="PivotTable6"/>
    <pivotTable tabId="2" name="PivotTable7"/>
    <pivotTable tabId="2" name="PivotTable8"/>
    <pivotTable tabId="5" name="PivotTable3"/>
    <pivotTable tabId="5" name="PivotTable5"/>
    <pivotTable tabId="5" name="PivotTable6"/>
    <pivotTable tabId="5" name="PivotTable8"/>
  </pivotTables>
  <data>
    <olap pivotCacheId="605677213">
      <levels count="2">
        <level uniqueName="[Calendar].[Day Of Week].[(All)]" sourceCaption="(All)" count="0"/>
        <level uniqueName="[Calendar].[Day Of Week].[Day Of Week]" sourceCaption="Day Of Week" count="7">
          <ranges>
            <range startItem="0">
              <i n="[Calendar].[Day Of Week].&amp;[Sunday]" c="Sunday"/>
              <i n="[Calendar].[Day Of Week].&amp;[Monday]" c="Monday"/>
              <i n="[Calendar].[Day Of Week].&amp;[Tuesday]" c="Tuesday"/>
              <i n="[Calendar].[Day Of Week].&amp;[Wednesday]" c="Wednesday"/>
              <i n="[Calendar].[Day Of Week].&amp;[Thursday]" c="Thursday"/>
              <i n="[Calendar].[Day Of Week].&amp;[Friday]" c="Friday"/>
              <i n="[Calendar].[Day Of Week].&amp;[Saturday]" c="Saturday"/>
            </range>
          </ranges>
        </level>
      </levels>
      <selections count="1">
        <selection n="[Calendar].[Day Of Week].&amp;[Mon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xr10:uid="{7FDC5082-F50B-46D6-B312-3165C000F8D5}" cache="Slicer_Day_Of_Week" caption="Day Of Week" columnCount="7" level="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2" xr10:uid="{AAC6A0BA-4D9F-4F48-8303-E1B3AC7FB28C}" cache="Slicer_Day_Of_Week1" caption="Day Of Week" columnCount="7"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1" xr10:uid="{8962220C-A50F-4002-B6B5-E71C4DB8479E}" cache="Slicer_Day_Of_Week" caption="Day Of Week" columnCount="7" level="1" style="SlicerStyleLight2"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3" xr10:uid="{B1F0A7EC-D337-4784-89CF-275DF57D0F9D}" cache="Slicer_Day_Of_Week1" caption="Day Of Week" columnCount="7" level="1" style="SlicerStyleLight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2B6F5B-BE9E-4200-9DBD-024C94D0F30D}">
  <we:reference id="e849ddb8-6bbd-4833-bd4b-59030099d63e" version="1.0.0.0" store="EXCatalog" storeType="EXCatalog"/>
  <we:alternateReferences>
    <we:reference id="WA200000113" version="1.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workbookViewId="0">
      <selection activeCell="H1" sqref="H1"/>
    </sheetView>
  </sheetViews>
  <sheetFormatPr defaultRowHeight="15" x14ac:dyDescent="0.25"/>
  <cols>
    <col min="1" max="1" width="13.140625" bestFit="1" customWidth="1"/>
    <col min="2" max="2" width="10.28515625" bestFit="1" customWidth="1"/>
    <col min="8" max="8" width="13.140625" bestFit="1" customWidth="1"/>
    <col min="9" max="9" width="10.28515625" bestFit="1" customWidth="1"/>
  </cols>
  <sheetData>
    <row r="1" spans="1:9" x14ac:dyDescent="0.25">
      <c r="A1" s="1" t="s">
        <v>0</v>
      </c>
      <c r="B1" t="s">
        <v>10</v>
      </c>
      <c r="H1" s="1" t="s">
        <v>0</v>
      </c>
      <c r="I1" t="s">
        <v>10</v>
      </c>
    </row>
    <row r="2" spans="1:9" x14ac:dyDescent="0.25">
      <c r="A2" s="2" t="s">
        <v>8</v>
      </c>
      <c r="B2" s="6">
        <v>10289.120000000001</v>
      </c>
      <c r="H2" s="2" t="s">
        <v>11</v>
      </c>
      <c r="I2" s="6">
        <v>7050.2000000000062</v>
      </c>
    </row>
    <row r="3" spans="1:9" x14ac:dyDescent="0.25">
      <c r="A3" s="2" t="s">
        <v>2</v>
      </c>
      <c r="B3" s="6">
        <v>10025.859999999973</v>
      </c>
      <c r="H3" s="2" t="s">
        <v>12</v>
      </c>
      <c r="I3" s="6">
        <v>6720.560000000004</v>
      </c>
    </row>
    <row r="4" spans="1:9" x14ac:dyDescent="0.25">
      <c r="A4" s="2" t="s">
        <v>3</v>
      </c>
      <c r="B4" s="6">
        <v>8186.46</v>
      </c>
      <c r="H4" s="2" t="s">
        <v>13</v>
      </c>
      <c r="I4" s="6">
        <v>9063.4199999999983</v>
      </c>
    </row>
    <row r="5" spans="1:9" x14ac:dyDescent="0.25">
      <c r="A5" s="2" t="s">
        <v>1</v>
      </c>
      <c r="B5" s="6">
        <v>5012.8600000000006</v>
      </c>
      <c r="H5" s="2" t="s">
        <v>14</v>
      </c>
      <c r="I5" s="6">
        <v>7758.7599999999993</v>
      </c>
    </row>
    <row r="6" spans="1:9" x14ac:dyDescent="0.25">
      <c r="A6" s="2" t="s">
        <v>5</v>
      </c>
      <c r="B6" s="6">
        <v>3297.5600000000004</v>
      </c>
      <c r="H6" s="2" t="s">
        <v>15</v>
      </c>
      <c r="I6" s="6">
        <v>6915.94</v>
      </c>
    </row>
    <row r="7" spans="1:9" x14ac:dyDescent="0.25">
      <c r="A7" s="2" t="s">
        <v>7</v>
      </c>
      <c r="B7" s="6">
        <v>2942.58</v>
      </c>
      <c r="H7" s="2" t="s">
        <v>16</v>
      </c>
      <c r="I7" s="6">
        <v>5118.6999999999989</v>
      </c>
    </row>
    <row r="8" spans="1:9" x14ac:dyDescent="0.25">
      <c r="A8" s="2" t="s">
        <v>4</v>
      </c>
      <c r="B8" s="6">
        <v>1591.32</v>
      </c>
      <c r="H8" s="2" t="s">
        <v>9</v>
      </c>
      <c r="I8" s="6">
        <v>42627.58</v>
      </c>
    </row>
    <row r="9" spans="1:9" x14ac:dyDescent="0.25">
      <c r="A9" s="2" t="s">
        <v>6</v>
      </c>
      <c r="B9" s="6">
        <v>1281.8199999999986</v>
      </c>
    </row>
    <row r="10" spans="1:9" x14ac:dyDescent="0.25">
      <c r="A10" s="2" t="s">
        <v>9</v>
      </c>
      <c r="B10" s="6">
        <v>42627.58</v>
      </c>
    </row>
    <row r="13" spans="1:9" x14ac:dyDescent="0.25">
      <c r="H13" s="1" t="s">
        <v>0</v>
      </c>
      <c r="I13" t="s">
        <v>10</v>
      </c>
    </row>
    <row r="14" spans="1:9" x14ac:dyDescent="0.25">
      <c r="A14" s="1" t="s">
        <v>0</v>
      </c>
      <c r="B14" t="s">
        <v>10</v>
      </c>
      <c r="H14" s="2" t="s">
        <v>21</v>
      </c>
      <c r="I14" s="6">
        <v>21289.559999999976</v>
      </c>
    </row>
    <row r="15" spans="1:9" x14ac:dyDescent="0.25">
      <c r="A15" s="2" t="s">
        <v>17</v>
      </c>
      <c r="B15" s="3">
        <v>0.92525965583784442</v>
      </c>
      <c r="H15" s="2" t="s">
        <v>19</v>
      </c>
      <c r="I15" s="6">
        <v>8937.6200000000026</v>
      </c>
    </row>
    <row r="16" spans="1:9" x14ac:dyDescent="0.25">
      <c r="A16" s="2" t="s">
        <v>18</v>
      </c>
      <c r="B16" s="3">
        <v>7.47403441621598E-2</v>
      </c>
      <c r="H16" s="2" t="s">
        <v>20</v>
      </c>
      <c r="I16" s="6">
        <v>7092.840000000002</v>
      </c>
    </row>
    <row r="17" spans="1:9" x14ac:dyDescent="0.25">
      <c r="A17" s="2" t="s">
        <v>9</v>
      </c>
      <c r="B17" s="3">
        <v>1</v>
      </c>
      <c r="H17" s="2" t="s">
        <v>22</v>
      </c>
      <c r="I17" s="6">
        <v>5307.56</v>
      </c>
    </row>
    <row r="18" spans="1:9" x14ac:dyDescent="0.25">
      <c r="H18" s="2" t="s">
        <v>9</v>
      </c>
      <c r="I18" s="6">
        <v>42627.58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895C-FDD1-4D20-815C-160E8020C99B}">
  <dimension ref="A1:I35"/>
  <sheetViews>
    <sheetView topLeftCell="A20" workbookViewId="0">
      <selection activeCell="A5" sqref="A5"/>
    </sheetView>
  </sheetViews>
  <sheetFormatPr defaultRowHeight="15" x14ac:dyDescent="0.25"/>
  <cols>
    <col min="1" max="1" width="19.5703125" bestFit="1" customWidth="1"/>
    <col min="2" max="2" width="7" bestFit="1" customWidth="1"/>
    <col min="7" max="8" width="13.140625" bestFit="1" customWidth="1"/>
    <col min="9" max="9" width="8.140625" bestFit="1" customWidth="1"/>
  </cols>
  <sheetData>
    <row r="1" spans="1:8" x14ac:dyDescent="0.25">
      <c r="A1" s="1" t="s">
        <v>0</v>
      </c>
      <c r="B1" t="s">
        <v>23</v>
      </c>
      <c r="G1" s="1" t="s">
        <v>0</v>
      </c>
      <c r="H1" t="s">
        <v>23</v>
      </c>
    </row>
    <row r="2" spans="1:8" x14ac:dyDescent="0.25">
      <c r="A2" s="2" t="s">
        <v>2</v>
      </c>
      <c r="B2" s="6">
        <v>40</v>
      </c>
      <c r="G2" s="2" t="s">
        <v>21</v>
      </c>
      <c r="H2" s="6">
        <v>93</v>
      </c>
    </row>
    <row r="3" spans="1:8" x14ac:dyDescent="0.25">
      <c r="A3" s="2" t="s">
        <v>1</v>
      </c>
      <c r="B3" s="6">
        <v>38</v>
      </c>
      <c r="G3" s="2" t="s">
        <v>19</v>
      </c>
      <c r="H3" s="6">
        <v>39</v>
      </c>
    </row>
    <row r="4" spans="1:8" x14ac:dyDescent="0.25">
      <c r="A4" s="2" t="s">
        <v>8</v>
      </c>
      <c r="B4" s="6">
        <v>36</v>
      </c>
      <c r="G4" s="2" t="s">
        <v>20</v>
      </c>
      <c r="H4" s="6">
        <v>28</v>
      </c>
    </row>
    <row r="5" spans="1:8" x14ac:dyDescent="0.25">
      <c r="A5" s="2" t="s">
        <v>3</v>
      </c>
      <c r="B5" s="6">
        <v>34</v>
      </c>
      <c r="G5" s="2" t="s">
        <v>22</v>
      </c>
      <c r="H5" s="6">
        <v>17</v>
      </c>
    </row>
    <row r="6" spans="1:8" x14ac:dyDescent="0.25">
      <c r="A6" s="2" t="s">
        <v>5</v>
      </c>
      <c r="B6" s="6">
        <v>13</v>
      </c>
      <c r="G6" s="2" t="s">
        <v>9</v>
      </c>
      <c r="H6" s="6">
        <v>177</v>
      </c>
    </row>
    <row r="7" spans="1:8" x14ac:dyDescent="0.25">
      <c r="A7" s="2" t="s">
        <v>7</v>
      </c>
      <c r="B7" s="6">
        <v>6</v>
      </c>
    </row>
    <row r="8" spans="1:8" x14ac:dyDescent="0.25">
      <c r="A8" s="2" t="s">
        <v>6</v>
      </c>
      <c r="B8" s="6">
        <v>5</v>
      </c>
    </row>
    <row r="9" spans="1:8" x14ac:dyDescent="0.25">
      <c r="A9" s="2" t="s">
        <v>4</v>
      </c>
      <c r="B9" s="6">
        <v>5</v>
      </c>
    </row>
    <row r="10" spans="1:8" x14ac:dyDescent="0.25">
      <c r="A10" s="2" t="s">
        <v>9</v>
      </c>
      <c r="B10" s="6">
        <v>177</v>
      </c>
    </row>
    <row r="28" spans="1:9" x14ac:dyDescent="0.25">
      <c r="A28" s="1" t="s">
        <v>0</v>
      </c>
      <c r="B28" t="s">
        <v>23</v>
      </c>
      <c r="H28" s="1" t="s">
        <v>0</v>
      </c>
      <c r="I28" t="s">
        <v>23</v>
      </c>
    </row>
    <row r="29" spans="1:9" x14ac:dyDescent="0.25">
      <c r="A29" s="2" t="s">
        <v>11</v>
      </c>
      <c r="B29" s="6">
        <v>22</v>
      </c>
      <c r="H29" s="2" t="s">
        <v>17</v>
      </c>
      <c r="I29" s="3">
        <v>0.903954802259887</v>
      </c>
    </row>
    <row r="30" spans="1:9" x14ac:dyDescent="0.25">
      <c r="A30" s="2" t="s">
        <v>12</v>
      </c>
      <c r="B30" s="6">
        <v>35</v>
      </c>
      <c r="H30" s="2" t="s">
        <v>18</v>
      </c>
      <c r="I30" s="3">
        <v>9.6045197740112997E-2</v>
      </c>
    </row>
    <row r="31" spans="1:9" x14ac:dyDescent="0.25">
      <c r="A31" s="2" t="s">
        <v>13</v>
      </c>
      <c r="B31" s="6">
        <v>41</v>
      </c>
      <c r="H31" s="2" t="s">
        <v>9</v>
      </c>
      <c r="I31" s="3">
        <v>1</v>
      </c>
    </row>
    <row r="32" spans="1:9" x14ac:dyDescent="0.25">
      <c r="A32" s="2" t="s">
        <v>14</v>
      </c>
      <c r="B32" s="6">
        <v>29</v>
      </c>
    </row>
    <row r="33" spans="1:2" x14ac:dyDescent="0.25">
      <c r="A33" s="2" t="s">
        <v>15</v>
      </c>
      <c r="B33" s="6">
        <v>24</v>
      </c>
    </row>
    <row r="34" spans="1:2" x14ac:dyDescent="0.25">
      <c r="A34" s="2" t="s">
        <v>16</v>
      </c>
      <c r="B34" s="6">
        <v>26</v>
      </c>
    </row>
    <row r="35" spans="1:2" x14ac:dyDescent="0.25">
      <c r="A35" s="2" t="s">
        <v>9</v>
      </c>
      <c r="B35" s="6">
        <v>177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99553-9FBE-4CDF-ADF9-C19C8E0C75C5}">
  <dimension ref="A1"/>
  <sheetViews>
    <sheetView tabSelected="1" workbookViewId="0">
      <selection sqref="A1:XFD1048576"/>
    </sheetView>
  </sheetViews>
  <sheetFormatPr defaultRowHeight="15" x14ac:dyDescent="0.25"/>
  <cols>
    <col min="1" max="16384" width="9.140625" style="5"/>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C1B5-D5BA-436C-BCDA-CF167FB8C958}">
  <dimension ref="A1"/>
  <sheetViews>
    <sheetView workbookViewId="0">
      <selection sqref="A1:XFD1048576"/>
    </sheetView>
  </sheetViews>
  <sheetFormatPr defaultRowHeight="15" x14ac:dyDescent="0.25"/>
  <cols>
    <col min="1" max="16384" width="9.140625" style="5"/>
  </cols>
  <sheetData/>
  <mergeCells count="1">
    <mergeCell ref="A1:XFD104857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C049-D9A0-4D14-AC54-DAEE41156F95}">
  <dimension ref="A1:O70"/>
  <sheetViews>
    <sheetView topLeftCell="A25" workbookViewId="0">
      <selection activeCell="M32" sqref="M32"/>
    </sheetView>
  </sheetViews>
  <sheetFormatPr defaultRowHeight="15" x14ac:dyDescent="0.25"/>
  <cols>
    <col min="1" max="1" width="13.140625" bestFit="1" customWidth="1"/>
    <col min="2" max="2" width="7" bestFit="1" customWidth="1"/>
    <col min="8" max="8" width="13.140625" bestFit="1" customWidth="1"/>
    <col min="9" max="9" width="19.5703125" bestFit="1" customWidth="1"/>
    <col min="10" max="10" width="14.5703125" bestFit="1" customWidth="1"/>
    <col min="13" max="13" width="19.5703125" bestFit="1" customWidth="1"/>
    <col min="14" max="14" width="14.5703125" bestFit="1" customWidth="1"/>
    <col min="15" max="15" width="7" bestFit="1" customWidth="1"/>
  </cols>
  <sheetData>
    <row r="1" spans="1:15" x14ac:dyDescent="0.25">
      <c r="A1" s="1" t="s">
        <v>0</v>
      </c>
      <c r="B1" t="s">
        <v>10</v>
      </c>
      <c r="H1" s="1" t="s">
        <v>0</v>
      </c>
      <c r="I1" t="s">
        <v>10</v>
      </c>
      <c r="N1" s="1" t="s">
        <v>0</v>
      </c>
      <c r="O1" t="s">
        <v>23</v>
      </c>
    </row>
    <row r="2" spans="1:15" x14ac:dyDescent="0.25">
      <c r="A2" s="2" t="s">
        <v>11</v>
      </c>
      <c r="B2" s="6">
        <v>7050.2000000000062</v>
      </c>
      <c r="H2" s="2" t="s">
        <v>24</v>
      </c>
      <c r="I2" s="6">
        <v>5680.62</v>
      </c>
      <c r="N2" s="2" t="s">
        <v>25</v>
      </c>
      <c r="O2" s="6">
        <v>177</v>
      </c>
    </row>
    <row r="3" spans="1:15" x14ac:dyDescent="0.25">
      <c r="A3" s="2" t="s">
        <v>12</v>
      </c>
      <c r="B3" s="6">
        <v>6720.560000000004</v>
      </c>
      <c r="H3" s="2" t="s">
        <v>25</v>
      </c>
      <c r="I3" s="6">
        <v>5739.7</v>
      </c>
      <c r="N3" s="2" t="s">
        <v>9</v>
      </c>
      <c r="O3" s="6">
        <v>177</v>
      </c>
    </row>
    <row r="4" spans="1:15" x14ac:dyDescent="0.25">
      <c r="A4" s="2" t="s">
        <v>13</v>
      </c>
      <c r="B4" s="6">
        <v>9063.4199999999983</v>
      </c>
      <c r="H4" s="2" t="s">
        <v>26</v>
      </c>
      <c r="I4" s="6">
        <v>6722.9000000000015</v>
      </c>
    </row>
    <row r="5" spans="1:15" x14ac:dyDescent="0.25">
      <c r="A5" s="2" t="s">
        <v>14</v>
      </c>
      <c r="B5" s="6">
        <v>7758.7599999999993</v>
      </c>
      <c r="H5" s="2" t="s">
        <v>27</v>
      </c>
      <c r="I5" s="6">
        <v>5954.6600000000008</v>
      </c>
    </row>
    <row r="6" spans="1:15" x14ac:dyDescent="0.25">
      <c r="A6" s="2" t="s">
        <v>15</v>
      </c>
      <c r="B6" s="6">
        <v>6915.94</v>
      </c>
      <c r="H6" s="2" t="s">
        <v>28</v>
      </c>
      <c r="I6" s="6">
        <v>6457.16</v>
      </c>
    </row>
    <row r="7" spans="1:15" x14ac:dyDescent="0.25">
      <c r="A7" s="2" t="s">
        <v>16</v>
      </c>
      <c r="B7" s="6">
        <v>5118.6999999999989</v>
      </c>
      <c r="H7" s="2" t="s">
        <v>29</v>
      </c>
      <c r="I7" s="6">
        <v>5864.380000000001</v>
      </c>
    </row>
    <row r="8" spans="1:15" x14ac:dyDescent="0.25">
      <c r="A8" s="2" t="s">
        <v>9</v>
      </c>
      <c r="B8" s="6">
        <v>42627.58</v>
      </c>
      <c r="H8" s="2" t="s">
        <v>30</v>
      </c>
      <c r="I8" s="6">
        <v>6208.1600000000026</v>
      </c>
    </row>
    <row r="9" spans="1:15" ht="21" x14ac:dyDescent="0.35">
      <c r="B9" s="4">
        <f>GETPIVOTDATA("[Measures].[Total sales]",$A$1)</f>
        <v>42627.58</v>
      </c>
      <c r="H9" s="2" t="s">
        <v>9</v>
      </c>
      <c r="I9" s="6">
        <v>42627.58</v>
      </c>
    </row>
    <row r="12" spans="1:15" x14ac:dyDescent="0.25">
      <c r="A12" s="1" t="s">
        <v>0</v>
      </c>
      <c r="B12" t="s">
        <v>23</v>
      </c>
    </row>
    <row r="13" spans="1:15" x14ac:dyDescent="0.25">
      <c r="A13" s="2" t="s">
        <v>11</v>
      </c>
      <c r="B13" s="6">
        <v>206</v>
      </c>
    </row>
    <row r="14" spans="1:15" x14ac:dyDescent="0.25">
      <c r="A14" s="2" t="s">
        <v>12</v>
      </c>
      <c r="B14" s="6">
        <v>196</v>
      </c>
    </row>
    <row r="15" spans="1:15" x14ac:dyDescent="0.25">
      <c r="A15" s="2" t="s">
        <v>13</v>
      </c>
      <c r="B15" s="6">
        <v>267</v>
      </c>
    </row>
    <row r="16" spans="1:15" x14ac:dyDescent="0.25">
      <c r="A16" s="2" t="s">
        <v>14</v>
      </c>
      <c r="B16" s="6">
        <v>227</v>
      </c>
    </row>
    <row r="17" spans="1:14" x14ac:dyDescent="0.25">
      <c r="A17" s="2" t="s">
        <v>15</v>
      </c>
      <c r="B17" s="6">
        <v>237</v>
      </c>
    </row>
    <row r="18" spans="1:14" x14ac:dyDescent="0.25">
      <c r="A18" s="2" t="s">
        <v>16</v>
      </c>
      <c r="B18" s="6">
        <v>180</v>
      </c>
    </row>
    <row r="19" spans="1:14" x14ac:dyDescent="0.25">
      <c r="A19" s="2" t="s">
        <v>9</v>
      </c>
      <c r="B19" s="6">
        <v>1313</v>
      </c>
    </row>
    <row r="20" spans="1:14" x14ac:dyDescent="0.25">
      <c r="B20">
        <f>GETPIVOTDATA("[Measures].[Orders]",$A$12)</f>
        <v>1313</v>
      </c>
    </row>
    <row r="31" spans="1:14" x14ac:dyDescent="0.25">
      <c r="M31" s="1" t="s">
        <v>0</v>
      </c>
      <c r="N31" t="s">
        <v>31</v>
      </c>
    </row>
    <row r="32" spans="1:14" x14ac:dyDescent="0.25">
      <c r="I32" s="1" t="s">
        <v>0</v>
      </c>
      <c r="J32" t="s">
        <v>31</v>
      </c>
      <c r="M32" s="2" t="s">
        <v>1</v>
      </c>
      <c r="N32" s="6">
        <v>1</v>
      </c>
    </row>
    <row r="33" spans="1:14" x14ac:dyDescent="0.25">
      <c r="I33" s="2" t="s">
        <v>1</v>
      </c>
      <c r="J33" s="6">
        <v>1</v>
      </c>
      <c r="M33" s="2" t="s">
        <v>2</v>
      </c>
      <c r="N33" s="6">
        <v>1</v>
      </c>
    </row>
    <row r="34" spans="1:14" x14ac:dyDescent="0.25">
      <c r="I34" s="2" t="s">
        <v>2</v>
      </c>
      <c r="J34" s="6">
        <v>1</v>
      </c>
      <c r="M34" s="2" t="s">
        <v>3</v>
      </c>
      <c r="N34" s="6">
        <v>1</v>
      </c>
    </row>
    <row r="35" spans="1:14" x14ac:dyDescent="0.25">
      <c r="A35" s="1" t="s">
        <v>0</v>
      </c>
      <c r="B35" t="s">
        <v>10</v>
      </c>
      <c r="I35" s="2" t="s">
        <v>3</v>
      </c>
      <c r="J35" s="6">
        <v>1</v>
      </c>
      <c r="M35" s="2" t="s">
        <v>4</v>
      </c>
      <c r="N35" s="6">
        <v>1</v>
      </c>
    </row>
    <row r="36" spans="1:14" x14ac:dyDescent="0.25">
      <c r="A36" s="2" t="s">
        <v>11</v>
      </c>
      <c r="B36" s="6">
        <v>749.59999999999991</v>
      </c>
      <c r="I36" s="2" t="s">
        <v>4</v>
      </c>
      <c r="J36" s="6">
        <v>1</v>
      </c>
      <c r="M36" s="2" t="s">
        <v>5</v>
      </c>
      <c r="N36" s="6">
        <v>1</v>
      </c>
    </row>
    <row r="37" spans="1:14" x14ac:dyDescent="0.25">
      <c r="A37" s="2" t="s">
        <v>12</v>
      </c>
      <c r="B37" s="6">
        <v>1167.5199999999998</v>
      </c>
      <c r="I37" s="2" t="s">
        <v>5</v>
      </c>
      <c r="J37" s="6">
        <v>1</v>
      </c>
      <c r="M37" s="2" t="s">
        <v>6</v>
      </c>
      <c r="N37" s="6">
        <v>1</v>
      </c>
    </row>
    <row r="38" spans="1:14" x14ac:dyDescent="0.25">
      <c r="A38" s="2" t="s">
        <v>13</v>
      </c>
      <c r="B38" s="6">
        <v>1330.34</v>
      </c>
      <c r="I38" s="2" t="s">
        <v>6</v>
      </c>
      <c r="J38" s="6">
        <v>1</v>
      </c>
      <c r="M38" s="2" t="s">
        <v>7</v>
      </c>
      <c r="N38" s="6">
        <v>1</v>
      </c>
    </row>
    <row r="39" spans="1:14" x14ac:dyDescent="0.25">
      <c r="A39" s="2" t="s">
        <v>14</v>
      </c>
      <c r="B39" s="6">
        <v>1022.74</v>
      </c>
      <c r="I39" s="2" t="s">
        <v>7</v>
      </c>
      <c r="J39" s="6">
        <v>1</v>
      </c>
      <c r="M39" s="2" t="s">
        <v>8</v>
      </c>
      <c r="N39" s="6">
        <v>1</v>
      </c>
    </row>
    <row r="40" spans="1:14" x14ac:dyDescent="0.25">
      <c r="A40" s="2" t="s">
        <v>15</v>
      </c>
      <c r="B40" s="6">
        <v>699.4799999999999</v>
      </c>
      <c r="I40" s="2" t="s">
        <v>8</v>
      </c>
      <c r="J40" s="6">
        <v>1</v>
      </c>
      <c r="M40" s="2" t="s">
        <v>9</v>
      </c>
      <c r="N40" s="6">
        <v>8</v>
      </c>
    </row>
    <row r="41" spans="1:14" x14ac:dyDescent="0.25">
      <c r="A41" s="2" t="s">
        <v>16</v>
      </c>
      <c r="B41" s="6">
        <v>770.0200000000001</v>
      </c>
      <c r="I41" s="2" t="s">
        <v>9</v>
      </c>
      <c r="J41" s="6">
        <v>8</v>
      </c>
      <c r="N41">
        <f>GETPIVOTDATA("[Measures].[Items of coffee]",$M$31)</f>
        <v>8</v>
      </c>
    </row>
    <row r="42" spans="1:14" x14ac:dyDescent="0.25">
      <c r="A42" s="2" t="s">
        <v>9</v>
      </c>
      <c r="B42" s="6">
        <v>5739.7</v>
      </c>
      <c r="J42">
        <f>GETPIVOTDATA("[Measures].[Items of coffee]",$I$32)</f>
        <v>8</v>
      </c>
    </row>
    <row r="43" spans="1:14" x14ac:dyDescent="0.25">
      <c r="B43">
        <f>GETPIVOTDATA("[Measures].[Total sales]",$A$35)</f>
        <v>5739.7</v>
      </c>
    </row>
    <row r="62" spans="1:2" x14ac:dyDescent="0.25">
      <c r="A62" s="1" t="s">
        <v>0</v>
      </c>
      <c r="B62" t="s">
        <v>23</v>
      </c>
    </row>
    <row r="63" spans="1:2" x14ac:dyDescent="0.25">
      <c r="A63" s="2" t="s">
        <v>11</v>
      </c>
      <c r="B63" s="6">
        <v>22</v>
      </c>
    </row>
    <row r="64" spans="1:2" x14ac:dyDescent="0.25">
      <c r="A64" s="2" t="s">
        <v>12</v>
      </c>
      <c r="B64" s="6">
        <v>35</v>
      </c>
    </row>
    <row r="65" spans="1:2" x14ac:dyDescent="0.25">
      <c r="A65" s="2" t="s">
        <v>13</v>
      </c>
      <c r="B65" s="6">
        <v>41</v>
      </c>
    </row>
    <row r="66" spans="1:2" x14ac:dyDescent="0.25">
      <c r="A66" s="2" t="s">
        <v>14</v>
      </c>
      <c r="B66" s="6">
        <v>29</v>
      </c>
    </row>
    <row r="67" spans="1:2" x14ac:dyDescent="0.25">
      <c r="A67" s="2" t="s">
        <v>15</v>
      </c>
      <c r="B67" s="6">
        <v>24</v>
      </c>
    </row>
    <row r="68" spans="1:2" x14ac:dyDescent="0.25">
      <c r="A68" s="2" t="s">
        <v>16</v>
      </c>
      <c r="B68" s="6">
        <v>26</v>
      </c>
    </row>
    <row r="69" spans="1:2" x14ac:dyDescent="0.25">
      <c r="A69" s="2" t="s">
        <v>9</v>
      </c>
      <c r="B69" s="6">
        <v>177</v>
      </c>
    </row>
    <row r="70" spans="1:2" x14ac:dyDescent="0.25">
      <c r="B70">
        <f>GETPIVOTDATA("[Measures].[Orders]",$A$62)</f>
        <v>177</v>
      </c>
    </row>
  </sheetData>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7CC6A49B-4A66-480D-9B2F-CC4AC6D53512}">
  <ds:schemaRefs/>
</ds:datastoreItem>
</file>

<file path=customXml/itemProps2.xml><?xml version="1.0" encoding="utf-8"?>
<ds:datastoreItem xmlns:ds="http://schemas.openxmlformats.org/officeDocument/2006/customXml" ds:itemID="{ABD14B08-9E60-4E93-9CA1-B6039AB9AF36}">
  <ds:schemaRefs/>
</ds:datastoreItem>
</file>

<file path=customXml/itemProps3.xml><?xml version="1.0" encoding="utf-8"?>
<ds:datastoreItem xmlns:ds="http://schemas.openxmlformats.org/officeDocument/2006/customXml" ds:itemID="{55E3B159-4DCB-4D2A-BE81-C710FCB2F3F1}">
  <ds:schemaRefs/>
</ds:datastoreItem>
</file>

<file path=customXml/itemProps4.xml><?xml version="1.0" encoding="utf-8"?>
<ds:datastoreItem xmlns:ds="http://schemas.openxmlformats.org/officeDocument/2006/customXml" ds:itemID="{7536F703-3531-4DE1-880F-FC84FC4AE0A8}">
  <ds:schemaRefs/>
</ds:datastoreItem>
</file>

<file path=customXml/itemProps5.xml><?xml version="1.0" encoding="utf-8"?>
<ds:datastoreItem xmlns:ds="http://schemas.openxmlformats.org/officeDocument/2006/customXml" ds:itemID="{C2BEA4D2-CA9C-429E-8D7A-C24CB66E4E73}">
  <ds:schemaRefs/>
</ds:datastoreItem>
</file>

<file path=customXml/itemProps6.xml><?xml version="1.0" encoding="utf-8"?>
<ds:datastoreItem xmlns:ds="http://schemas.openxmlformats.org/officeDocument/2006/customXml" ds:itemID="{B30EF2AE-77DC-4D35-BC38-4E32E6593F89}">
  <ds:schemaRefs/>
</ds:datastoreItem>
</file>

<file path=customXml/itemProps7.xml><?xml version="1.0" encoding="utf-8"?>
<ds:datastoreItem xmlns:ds="http://schemas.openxmlformats.org/officeDocument/2006/customXml" ds:itemID="{7FD88086-C3C8-4684-A8B6-ADE01CDC16E7}">
  <ds:schemaRefs/>
</ds:datastoreItem>
</file>

<file path=customXml/itemProps8.xml><?xml version="1.0" encoding="utf-8"?>
<ds:datastoreItem xmlns:ds="http://schemas.openxmlformats.org/officeDocument/2006/customXml" ds:itemID="{3D852D7B-AD65-4B5E-BF45-86A41F657EE6}">
  <ds:schemaRefs/>
</ds:datastoreItem>
</file>

<file path=customXml/itemProps9.xml><?xml version="1.0" encoding="utf-8"?>
<ds:datastoreItem xmlns:ds="http://schemas.openxmlformats.org/officeDocument/2006/customXml" ds:itemID="{2A509875-0A06-4128-A5CC-B965E3257DB0}">
  <ds:schemaRefs/>
</ds:datastoreItem>
</file>

<file path=customXml/itemProps10.xml><?xml version="1.0" encoding="utf-8"?>
<ds:datastoreItem xmlns:ds="http://schemas.openxmlformats.org/officeDocument/2006/customXml" ds:itemID="{8ECA510E-D71F-4580-9416-40FB74DB129B}">
  <ds:schemaRefs/>
</ds:datastoreItem>
</file>

<file path=customXml/itemProps11.xml><?xml version="1.0" encoding="utf-8"?>
<ds:datastoreItem xmlns:ds="http://schemas.openxmlformats.org/officeDocument/2006/customXml" ds:itemID="{417A0BD2-D3BF-4A5E-BBEC-6FB569C2F0AD}">
  <ds:schemaRefs/>
</ds:datastoreItem>
</file>

<file path=customXml/itemProps12.xml><?xml version="1.0" encoding="utf-8"?>
<ds:datastoreItem xmlns:ds="http://schemas.openxmlformats.org/officeDocument/2006/customXml" ds:itemID="{1E482DE4-3BB1-4ED0-8D6B-68FF612C288D}">
  <ds:schemaRefs/>
</ds:datastoreItem>
</file>

<file path=customXml/itemProps13.xml><?xml version="1.0" encoding="utf-8"?>
<ds:datastoreItem xmlns:ds="http://schemas.openxmlformats.org/officeDocument/2006/customXml" ds:itemID="{1018572C-7CE2-40DD-B75E-4EE5A14E7DB1}">
  <ds:schemaRefs/>
</ds:datastoreItem>
</file>

<file path=customXml/itemProps14.xml><?xml version="1.0" encoding="utf-8"?>
<ds:datastoreItem xmlns:ds="http://schemas.openxmlformats.org/officeDocument/2006/customXml" ds:itemID="{793AC9A6-53C4-4A34-9991-A4539507B7C5}">
  <ds:schemaRefs/>
</ds:datastoreItem>
</file>

<file path=customXml/itemProps15.xml><?xml version="1.0" encoding="utf-8"?>
<ds:datastoreItem xmlns:ds="http://schemas.openxmlformats.org/officeDocument/2006/customXml" ds:itemID="{7F2AEDC7-9BC1-4C75-9955-5520C4F9E382}">
  <ds:schemaRefs/>
</ds:datastoreItem>
</file>

<file path=customXml/itemProps16.xml><?xml version="1.0" encoding="utf-8"?>
<ds:datastoreItem xmlns:ds="http://schemas.openxmlformats.org/officeDocument/2006/customXml" ds:itemID="{FA70CAA4-6558-4604-83C5-CC89379E94E6}">
  <ds:schemaRefs/>
</ds:datastoreItem>
</file>

<file path=customXml/itemProps17.xml><?xml version="1.0" encoding="utf-8"?>
<ds:datastoreItem xmlns:ds="http://schemas.openxmlformats.org/officeDocument/2006/customXml" ds:itemID="{55029CF2-7C2A-41A1-A00F-B80BE8CEBEE2}">
  <ds:schemaRefs/>
</ds:datastoreItem>
</file>

<file path=customXml/itemProps18.xml><?xml version="1.0" encoding="utf-8"?>
<ds:datastoreItem xmlns:ds="http://schemas.openxmlformats.org/officeDocument/2006/customXml" ds:itemID="{0AEDD6F4-9ED2-4538-B77B-DB0F0C5CA88C}">
  <ds:schemaRefs/>
</ds:datastoreItem>
</file>

<file path=customXml/itemProps19.xml><?xml version="1.0" encoding="utf-8"?>
<ds:datastoreItem xmlns:ds="http://schemas.openxmlformats.org/officeDocument/2006/customXml" ds:itemID="{5076F04A-0EDB-4B9D-BC2A-8B9AD3148D96}">
  <ds:schemaRefs/>
</ds:datastoreItem>
</file>

<file path=customXml/itemProps20.xml><?xml version="1.0" encoding="utf-8"?>
<ds:datastoreItem xmlns:ds="http://schemas.openxmlformats.org/officeDocument/2006/customXml" ds:itemID="{09E1C09A-8A21-4AE8-825C-50F3ECE03A32}">
  <ds:schemaRefs/>
</ds:datastoreItem>
</file>

<file path=customXml/itemProps21.xml><?xml version="1.0" encoding="utf-8"?>
<ds:datastoreItem xmlns:ds="http://schemas.openxmlformats.org/officeDocument/2006/customXml" ds:itemID="{B0B443EF-D74D-471D-B34B-16A10638B03D}">
  <ds:schemaRefs/>
</ds:datastoreItem>
</file>

<file path=customXml/itemProps22.xml><?xml version="1.0" encoding="utf-8"?>
<ds:datastoreItem xmlns:ds="http://schemas.openxmlformats.org/officeDocument/2006/customXml" ds:itemID="{CBD77BF1-048C-43F9-B2DD-E4E9945B107B}">
  <ds:schemaRefs/>
</ds:datastoreItem>
</file>

<file path=customXml/itemProps23.xml><?xml version="1.0" encoding="utf-8"?>
<ds:datastoreItem xmlns:ds="http://schemas.openxmlformats.org/officeDocument/2006/customXml" ds:itemID="{D2D1A87F-5668-433D-8A5C-B67B393E2998}">
  <ds:schemaRefs/>
</ds:datastoreItem>
</file>

<file path=customXml/itemProps24.xml><?xml version="1.0" encoding="utf-8"?>
<ds:datastoreItem xmlns:ds="http://schemas.openxmlformats.org/officeDocument/2006/customXml" ds:itemID="{5DC78C8F-BF40-40AE-805B-92DAFC404F13}">
  <ds:schemaRefs/>
</ds:datastoreItem>
</file>

<file path=customXml/itemProps25.xml><?xml version="1.0" encoding="utf-8"?>
<ds:datastoreItem xmlns:ds="http://schemas.openxmlformats.org/officeDocument/2006/customXml" ds:itemID="{0CBAC45D-7F7C-4C68-B712-092303D78F67}">
  <ds:schemaRefs/>
</ds:datastoreItem>
</file>

<file path=customXml/itemProps26.xml><?xml version="1.0" encoding="utf-8"?>
<ds:datastoreItem xmlns:ds="http://schemas.openxmlformats.org/officeDocument/2006/customXml" ds:itemID="{2D88A87B-0032-4065-B31A-57554FFC6825}">
  <ds:schemaRefs/>
</ds:datastoreItem>
</file>

<file path=customXml/itemProps27.xml><?xml version="1.0" encoding="utf-8"?>
<ds:datastoreItem xmlns:ds="http://schemas.openxmlformats.org/officeDocument/2006/customXml" ds:itemID="{87396235-6B11-4681-A859-9C14C79E3241}">
  <ds:schemaRefs/>
</ds:datastoreItem>
</file>

<file path=customXml/itemProps28.xml><?xml version="1.0" encoding="utf-8"?>
<ds:datastoreItem xmlns:ds="http://schemas.openxmlformats.org/officeDocument/2006/customXml" ds:itemID="{B93E75E3-720E-447A-8B46-1897B1A18B06}">
  <ds:schemaRefs/>
</ds:datastoreItem>
</file>

<file path=customXml/itemProps29.xml><?xml version="1.0" encoding="utf-8"?>
<ds:datastoreItem xmlns:ds="http://schemas.openxmlformats.org/officeDocument/2006/customXml" ds:itemID="{9B5C3893-5750-42FB-98A6-6EB41065D9F7}">
  <ds:schemaRefs/>
</ds:datastoreItem>
</file>

<file path=customXml/itemProps30.xml><?xml version="1.0" encoding="utf-8"?>
<ds:datastoreItem xmlns:ds="http://schemas.openxmlformats.org/officeDocument/2006/customXml" ds:itemID="{A8B0871C-6DB1-49E0-BF80-675EB24870E2}">
  <ds:schemaRefs/>
</ds:datastoreItem>
</file>

<file path=customXml/itemProps31.xml><?xml version="1.0" encoding="utf-8"?>
<ds:datastoreItem xmlns:ds="http://schemas.openxmlformats.org/officeDocument/2006/customXml" ds:itemID="{4905A138-44C7-4686-9B2E-2FDC3E0A9F52}">
  <ds:schemaRefs/>
</ds:datastoreItem>
</file>

<file path=customXml/itemProps32.xml><?xml version="1.0" encoding="utf-8"?>
<ds:datastoreItem xmlns:ds="http://schemas.openxmlformats.org/officeDocument/2006/customXml" ds:itemID="{D1A0288F-4935-48B6-9855-8819121334E3}">
  <ds:schemaRefs>
    <ds:schemaRef ds:uri="http://schemas.microsoft.com/DataMashup"/>
  </ds:schemaRefs>
</ds:datastoreItem>
</file>

<file path=customXml/itemProps33.xml><?xml version="1.0" encoding="utf-8"?>
<ds:datastoreItem xmlns:ds="http://schemas.openxmlformats.org/officeDocument/2006/customXml" ds:itemID="{232E9C75-F268-4768-AED4-60CBD82C74CD}">
  <ds:schemaRefs/>
</ds:datastoreItem>
</file>

<file path=customXml/itemProps34.xml><?xml version="1.0" encoding="utf-8"?>
<ds:datastoreItem xmlns:ds="http://schemas.openxmlformats.org/officeDocument/2006/customXml" ds:itemID="{4D585C8A-429C-48CD-B33E-173BFBC56DA1}">
  <ds:schemaRefs/>
</ds:datastoreItem>
</file>

<file path=customXml/itemProps35.xml><?xml version="1.0" encoding="utf-8"?>
<ds:datastoreItem xmlns:ds="http://schemas.openxmlformats.org/officeDocument/2006/customXml" ds:itemID="{86DF7C69-FC5C-4E1D-A4B0-F5E421A85C57}">
  <ds:schemaRefs/>
</ds:datastoreItem>
</file>

<file path=customXml/itemProps36.xml><?xml version="1.0" encoding="utf-8"?>
<ds:datastoreItem xmlns:ds="http://schemas.openxmlformats.org/officeDocument/2006/customXml" ds:itemID="{EA41B25D-D41D-4538-A2EB-FFFE0D0BD8D0}">
  <ds:schemaRefs/>
</ds:datastoreItem>
</file>

<file path=customXml/itemProps37.xml><?xml version="1.0" encoding="utf-8"?>
<ds:datastoreItem xmlns:ds="http://schemas.openxmlformats.org/officeDocument/2006/customXml" ds:itemID="{EC173596-12FA-4C8C-823C-619156B234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dc:creator>
  <cp:lastModifiedBy>Mohamed thabet</cp:lastModifiedBy>
  <dcterms:created xsi:type="dcterms:W3CDTF">2015-06-05T18:17:20Z</dcterms:created>
  <dcterms:modified xsi:type="dcterms:W3CDTF">2026-04-24T15:53:13Z</dcterms:modified>
</cp:coreProperties>
</file>